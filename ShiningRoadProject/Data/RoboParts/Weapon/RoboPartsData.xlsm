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L7" i="1"/>
  <c r="N7" i="1"/>
  <c r="M7" i="1"/>
  <c r="I7" i="1" l="1"/>
  <c r="F7" i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<sst xmlns="http://schemas.openxmlformats.org/spreadsheetml/2006/main" count="45" uniqueCount="40">
  <si>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</si>
  <si>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</si>
  <si>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</si>
  <si>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</si>
  <si>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</si>
  <si>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</si>
  <si>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</si>
  <si>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</si>
  <si>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</si>
  <si>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</si>
  <si>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</si>
  <si>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</si>
  <si>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</si>
  <si>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</si>
  <si>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</si>
  <si>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</si>
  <si>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</si>
  <si>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</si>
  <si>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</si>
  <si>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</si>
  <si>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</si>
  <si>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</si>
  <si>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</si>
  <si>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</si>
  <si>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weaponman</t>
    <phoneticPr fontId="1"/>
  </si>
  <si>
    <t>wepMen</t>
    <phoneticPr fontId="1"/>
  </si>
  <si>
    <t>WepBoy</t>
    <phoneticPr fontId="1"/>
  </si>
  <si>
    <t>WepGirl</t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</si>
  <si>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</si>
  <si>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</si>
  <si>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</si>
  <si>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</si>
  <si>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示談争点時間</t>
    <rPh sb="0" eb="2">
      <t>ジダン</t>
    </rPh>
    <rPh sb="2" eb="4">
      <t>ソウテン</t>
    </rPh>
    <rPh sb="4" eb="6">
      <t>ジカン</t>
    </rPh>
    <phoneticPr fontId="1"/>
  </si>
  <si>
    <t>射撃反動</t>
    <rPh sb="0" eb="2">
      <t>シャゲキ</t>
    </rPh>
    <rPh sb="2" eb="4">
      <t>ハンドウ</t>
    </rPh>
    <phoneticPr fontId="1"/>
  </si>
  <si>
    <t>射撃制度</t>
    <rPh sb="0" eb="2">
      <t>シャゲキ</t>
    </rPh>
    <rPh sb="2" eb="4">
      <t>セイド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</si>
  <si>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</si>
  <si>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</si>
  <si>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ロック速度</t>
    <rPh sb="3" eb="5">
      <t>ソクド</t>
    </rPh>
    <phoneticPr fontId="1"/>
  </si>
  <si>
    <t>ロック距離</t>
    <rPh sb="3" eb="5">
      <t>キョリ</t>
    </rPh>
    <phoneticPr fontId="1"/>
  </si>
  <si>
    <t>武器パーツ</t>
    <rPh sb="0" eb="2">
      <t>ブキ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</si>
</sst>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N7" totalsRowCount="1">
  <autoFilter ref="B2:N6"/>
  <tableColumns count="13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示談争点時間" totalsRowFunction="average"/>
    <tableColumn id="7" name="射撃反動" totalsRowFunction="average"/>
    <tableColumn id="8" name="射撃制度" totalsRowFunction="average"/>
    <tableColumn id="9" name="マガジン再装填時間" totalsRowFunction="average"/>
    <tableColumn id="10" name="装弾数" totalsRowFunction="average"/>
    <tableColumn id="11" name="ロック速度" totalsRowFunction="average"/>
    <tableColumn id="13" name="ロック距離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5.875" bestFit="1" customWidth="1"/>
    <col min="9" max="10" width="12.125" bestFit="1" customWidth="1"/>
    <col min="11" max="11" width="22.125" bestFit="1" customWidth="1"/>
    <col min="12" max="12" width="10.25" bestFit="1" customWidth="1"/>
    <col min="13" max="14" width="13.875" bestFit="1" customWidth="1"/>
    <col min="15" max="15" width="22.75" bestFit="1" customWidth="1"/>
    <col min="16" max="16" width="7.125" customWidth="1"/>
    <col min="17" max="17" width="13" bestFit="1" customWidth="1"/>
    <col min="18" max="18" width="4.25" customWidth="1"/>
    <col min="19" max="19" width="27.625" bestFit="1" customWidth="1"/>
  </cols>
  <sheetData>
    <row r="1" spans="1:15" x14ac:dyDescent="0.4">
      <c r="A1" t="s">
        <v>39</v>
      </c>
    </row>
    <row r="2" spans="1:15" x14ac:dyDescent="0.4">
      <c r="B2" t="s">
        <v>17</v>
      </c>
      <c r="C2" t="s">
        <v>22</v>
      </c>
      <c r="D2" t="s">
        <v>28</v>
      </c>
      <c r="E2" t="s">
        <v>29</v>
      </c>
      <c r="F2" t="s">
        <v>30</v>
      </c>
      <c r="G2" t="s">
        <v>31</v>
      </c>
      <c r="H2" t="s">
        <v>32</v>
      </c>
      <c r="I2" t="s">
        <v>33</v>
      </c>
      <c r="J2" t="s">
        <v>34</v>
      </c>
      <c r="K2" t="s">
        <v>35</v>
      </c>
      <c r="L2" t="s">
        <v>36</v>
      </c>
      <c r="M2" t="s">
        <v>37</v>
      </c>
      <c r="N2" t="s">
        <v>38</v>
      </c>
    </row>
    <row r="3" spans="1:15" x14ac:dyDescent="0.4">
      <c r="A3" s="2" t="s">
        <v>20</v>
      </c>
      <c r="B3">
        <v>0</v>
      </c>
      <c r="C3" t="s">
        <v>24</v>
      </c>
      <c r="D3">
        <v>11</v>
      </c>
      <c r="E3">
        <v>12</v>
      </c>
      <c r="F3">
        <v>13</v>
      </c>
      <c r="G3">
        <v>14</v>
      </c>
      <c r="H3">
        <v>15</v>
      </c>
      <c r="I3">
        <v>16</v>
      </c>
      <c r="J3">
        <v>17</v>
      </c>
      <c r="K3">
        <v>18</v>
      </c>
      <c r="L3">
        <v>19</v>
      </c>
      <c r="M3">
        <v>20</v>
      </c>
      <c r="N3">
        <v>1</v>
      </c>
      <c r="O3" s="2" t="s">
        <v>18</v>
      </c>
    </row>
    <row r="4" spans="1:15" x14ac:dyDescent="0.4">
      <c r="B4">
        <v>1</v>
      </c>
      <c r="C4" t="s">
        <v>25</v>
      </c>
      <c r="D4">
        <v>21</v>
      </c>
      <c r="E4">
        <v>22</v>
      </c>
      <c r="F4">
        <v>23</v>
      </c>
      <c r="G4">
        <v>24</v>
      </c>
      <c r="H4">
        <v>25</v>
      </c>
      <c r="I4">
        <v>26</v>
      </c>
      <c r="J4">
        <v>27</v>
      </c>
      <c r="K4">
        <v>28</v>
      </c>
      <c r="L4">
        <v>29</v>
      </c>
      <c r="M4">
        <v>30</v>
      </c>
      <c r="N4">
        <v>2</v>
      </c>
    </row>
    <row r="5" spans="1:15" x14ac:dyDescent="0.4">
      <c r="B5">
        <v>2</v>
      </c>
      <c r="C5" t="s">
        <v>26</v>
      </c>
      <c r="D5">
        <v>31</v>
      </c>
      <c r="E5">
        <v>32</v>
      </c>
      <c r="F5">
        <v>33</v>
      </c>
      <c r="G5">
        <v>34</v>
      </c>
      <c r="H5">
        <v>35</v>
      </c>
      <c r="I5">
        <v>36</v>
      </c>
      <c r="J5">
        <v>37</v>
      </c>
      <c r="K5">
        <v>38</v>
      </c>
      <c r="L5">
        <v>39</v>
      </c>
      <c r="M5">
        <v>40</v>
      </c>
      <c r="N5">
        <v>3</v>
      </c>
    </row>
    <row r="6" spans="1:15" x14ac:dyDescent="0.4">
      <c r="B6">
        <v>3</v>
      </c>
      <c r="C6" t="s">
        <v>27</v>
      </c>
      <c r="D6">
        <v>41</v>
      </c>
      <c r="E6">
        <v>42</v>
      </c>
      <c r="F6">
        <v>43</v>
      </c>
      <c r="G6">
        <v>44</v>
      </c>
      <c r="H6">
        <v>45</v>
      </c>
      <c r="I6">
        <v>46</v>
      </c>
      <c r="J6">
        <v>47</v>
      </c>
      <c r="K6">
        <v>48</v>
      </c>
      <c r="L6">
        <v>49</v>
      </c>
      <c r="M6">
        <v>50</v>
      </c>
      <c r="N6">
        <v>4</v>
      </c>
    </row>
    <row r="7" spans="1:15" x14ac:dyDescent="0.4">
      <c r="A7" s="2" t="s">
        <v>21</v>
      </c>
      <c r="B7" t="s">
        <v>10</v>
      </c>
      <c r="D7">
        <f>SUBTOTAL(101,テーブル1[攻撃力])</f>
        <v>26</v>
      </c>
      <c r="E7">
        <f>SUBTOTAL(101,テーブル1[弾速])</f>
        <v>27</v>
      </c>
      <c r="F7">
        <f>SUBTOTAL(101,テーブル1[射程距離])</f>
        <v>28</v>
      </c>
      <c r="G7">
        <f>SUBTOTAL(101,テーブル1[消費EN])</f>
        <v>29</v>
      </c>
      <c r="H7">
        <f>SUBTOTAL(101,テーブル1[示談争点時間])</f>
        <v>30</v>
      </c>
      <c r="I7">
        <f>SUBTOTAL(101,テーブル1[射撃反動])</f>
        <v>31</v>
      </c>
      <c r="J7">
        <f>SUBTOTAL(101,テーブル1[射撃制度])</f>
        <v>32</v>
      </c>
      <c r="K7">
        <f>SUBTOTAL(101,テーブル1[マガジン再装填時間])</f>
        <v>33</v>
      </c>
      <c r="L7">
        <f>SUBTOTAL(101,テーブル1[装弾数])</f>
        <v>34</v>
      </c>
      <c r="M7">
        <f>SUBTOTAL(101,テーブル1[ロック速度])</f>
        <v>35</v>
      </c>
      <c r="N7">
        <f>SUBTOTAL(101,テーブル1[ロック距離])</f>
        <v>2.5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2018-06-05T10:13:51Z</dcterms:modified>
</cp:coreProperties>
</file>