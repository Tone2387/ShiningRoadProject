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L5" i="1" l="1"/>
  <c r="M5" i="1"/>
  <c r="J5" i="1"/>
  <c r="I5" i="1"/>
  <c r="F5" i="1" l="1"/>
  <c r="D5" i="1"/>
  <c r="E5" i="1"/>
  <c r="G5" i="1"/>
  <c r="H5" i="1"/>
  <c r="K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<sst xmlns="http://schemas.openxmlformats.org/spreadsheetml/2006/main" count="49" uniqueCount="44">
  <si>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</si>
  <si>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</si>
  <si>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</si>
  <si>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</si>
  <si>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</si>
  <si>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</si>
  <si>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</si>
  <si>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</si>
  <si>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</si>
  <si>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</si>
  <si>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</si>
  <si>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</si>
  <si>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</si>
  <si>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</si>
  <si>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</si>
  <si>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</si>
  <si>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</si>
  <si>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</si>
  <si>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</si>
  <si>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</si>
  <si>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</si>
  <si>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</si>
  <si>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</si>
  <si>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</si>
  <si>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</si>
  <si>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</si>
  <si>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</si>
  <si>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</si>
  <si>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</si>
  <si>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</si>
  <si>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</si>
  <si>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</si>
  <si>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</si>
  <si>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</si>
  <si>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</si>
  <si>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</si>
  <si>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</si>
  <si>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</si>
  <si>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</si>
  <si>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</si>
  <si>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</si>
  <si>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</si>
  <si>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RedGun</t>
    <phoneticPr fontId="1"/>
  </si>
  <si>
    <t>BlueGun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</si>
</sst>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5" totalsRowCount="1">
  <autoFilter ref="B2:S4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速度" totalsRowFunction="average"/>
    <tableColumn id="13" name="ロック距離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SUBTOTAL(101,Sheet1!$N$3:$N$4)</totalsRowFormula>
    </tableColumn>
    <tableColumn id="14" name="弾EfcNo"/>
    <tableColumn id="15" name="軌跡EfcNo"/>
    <tableColumn id="16" name="着弾Efc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10" width="13.875" bestFit="1" customWidth="1"/>
    <col min="11" max="11" width="12.125" bestFit="1" customWidth="1"/>
    <col min="12" max="12" width="22.125" bestFit="1" customWidth="1"/>
    <col min="13" max="13" width="10.25" bestFit="1" customWidth="1"/>
    <col min="14" max="14" width="20.125" customWidth="1"/>
    <col min="15" max="15" width="11.25" bestFit="1" customWidth="1"/>
    <col min="16" max="17" width="13.2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32</v>
      </c>
      <c r="N1" t="s">
        <v>34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33</v>
      </c>
      <c r="I2" t="s">
        <v>30</v>
      </c>
      <c r="J2" t="s">
        <v>31</v>
      </c>
      <c r="K2" t="s">
        <v>41</v>
      </c>
      <c r="L2" t="s">
        <v>28</v>
      </c>
      <c r="M2" t="s">
        <v>29</v>
      </c>
      <c r="N2" s="4" t="s">
        <v>35</v>
      </c>
      <c r="O2" s="4" t="s">
        <v>36</v>
      </c>
      <c r="P2" s="4" t="s">
        <v>37</v>
      </c>
      <c r="Q2" s="4" t="s">
        <v>38</v>
      </c>
      <c r="R2" s="4" t="s">
        <v>39</v>
      </c>
      <c r="S2" s="4" t="s">
        <v>40</v>
      </c>
    </row>
    <row r="3" spans="1:20" x14ac:dyDescent="0.4">
      <c r="A3" s="2" t="s">
        <v>20</v>
      </c>
      <c r="B3">
        <v>0</v>
      </c>
      <c r="C3" t="s">
        <v>42</v>
      </c>
      <c r="D3">
        <v>11</v>
      </c>
      <c r="E3">
        <v>12</v>
      </c>
      <c r="F3">
        <v>13</v>
      </c>
      <c r="G3">
        <v>14</v>
      </c>
      <c r="H3">
        <v>15</v>
      </c>
      <c r="I3">
        <v>20</v>
      </c>
      <c r="J3">
        <v>1</v>
      </c>
      <c r="K3">
        <v>17</v>
      </c>
      <c r="L3">
        <v>18</v>
      </c>
      <c r="M3">
        <v>19</v>
      </c>
      <c r="N3" s="3">
        <v>1</v>
      </c>
      <c r="O3" s="3">
        <v>0</v>
      </c>
      <c r="P3" s="3">
        <v>1</v>
      </c>
      <c r="Q3" s="3">
        <v>2</v>
      </c>
      <c r="R3" s="3">
        <v>0</v>
      </c>
      <c r="S3" s="3">
        <v>1</v>
      </c>
      <c r="T3" s="2" t="s">
        <v>18</v>
      </c>
    </row>
    <row r="4" spans="1:20" x14ac:dyDescent="0.4">
      <c r="B4">
        <v>1</v>
      </c>
      <c r="C4" t="s">
        <v>43</v>
      </c>
      <c r="D4">
        <v>41</v>
      </c>
      <c r="E4">
        <v>42</v>
      </c>
      <c r="F4">
        <v>43</v>
      </c>
      <c r="G4">
        <v>44</v>
      </c>
      <c r="H4">
        <v>45</v>
      </c>
      <c r="I4">
        <v>50</v>
      </c>
      <c r="J4">
        <v>4</v>
      </c>
      <c r="K4">
        <v>47</v>
      </c>
      <c r="L4">
        <v>48</v>
      </c>
      <c r="M4">
        <v>49</v>
      </c>
      <c r="N4">
        <v>1</v>
      </c>
      <c r="O4">
        <v>0</v>
      </c>
      <c r="P4">
        <v>1</v>
      </c>
      <c r="Q4">
        <v>2</v>
      </c>
      <c r="R4">
        <v>0</v>
      </c>
      <c r="S4">
        <v>1</v>
      </c>
    </row>
    <row r="5" spans="1:20" x14ac:dyDescent="0.4">
      <c r="A5" s="2" t="s">
        <v>21</v>
      </c>
      <c r="B5" t="s">
        <v>10</v>
      </c>
      <c r="D5">
        <f>SUBTOTAL(101,テーブル1[攻撃力])</f>
        <v>26</v>
      </c>
      <c r="E5">
        <f>SUBTOTAL(101,テーブル1[弾速])</f>
        <v>27</v>
      </c>
      <c r="F5">
        <f>SUBTOTAL(101,テーブル1[射程距離])</f>
        <v>28</v>
      </c>
      <c r="G5">
        <f>SUBTOTAL(101,テーブル1[消費EN])</f>
        <v>29</v>
      </c>
      <c r="H5">
        <f>SUBTOTAL(101,テーブル1[装填時間])</f>
        <v>30</v>
      </c>
      <c r="I5">
        <f>SUBTOTAL(101,テーブル1[ロック速度])</f>
        <v>35</v>
      </c>
      <c r="J5">
        <f>SUBTOTAL(101,テーブル1[ロック距離])</f>
        <v>2.5</v>
      </c>
      <c r="K5">
        <f>SUBTOTAL(101,テーブル1[射撃安定])</f>
        <v>32</v>
      </c>
      <c r="L5">
        <f>SUBTOTAL(101,テーブル1[マガジン再装填時間])</f>
        <v>33</v>
      </c>
      <c r="M5">
        <f>SUBTOTAL(101,テーブル1[装弾数])</f>
        <v>34</v>
      </c>
      <c r="N5">
        <f>SUBTOTAL(101,Sheet1!$N$3:$N$4)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2018-07-12T05:06:23Z</dcterms:modified>
</cp:coreProperties>
</file>