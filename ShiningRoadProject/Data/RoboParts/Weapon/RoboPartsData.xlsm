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1" l="1"/>
  <c r="K7" i="1" l="1"/>
  <c r="L7" i="1"/>
  <c r="I7" i="1"/>
  <c r="F7" i="1" l="1"/>
  <c r="D7" i="1"/>
  <c r="E7" i="1"/>
  <c r="G7" i="1"/>
  <c r="H7" i="1"/>
  <c r="J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<sst xmlns="http://schemas.openxmlformats.org/spreadsheetml/2006/main" count="51" uniqueCount="46">
  <si>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</si>
  <si>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</si>
  <si>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</si>
  <si>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</si>
  <si>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</si>
  <si>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</si>
  <si>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</si>
  <si>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</si>
  <si>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</si>
  <si>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</si>
  <si>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</si>
  <si>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</si>
  <si>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</si>
  <si>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</si>
  <si>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</si>
  <si>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</si>
  <si>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</si>
  <si>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</si>
  <si>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</si>
  <si>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</si>
  <si>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</si>
  <si>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</si>
  <si>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</si>
  <si>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</si>
  <si>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</si>
  <si>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</si>
  <si>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</si>
  <si>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</si>
  <si>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</si>
  <si>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</si>
  <si>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</si>
  <si>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</si>
  <si>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</si>
  <si>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</si>
  <si>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</si>
  <si>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</si>
  <si>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</si>
  <si>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</si>
  <si>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</si>
  <si>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</si>
  <si>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ロック時間</t>
    <rPh sb="3" eb="5">
      <t>ジカン</t>
    </rPh>
    <phoneticPr fontId="1"/>
  </si>
  <si>
    <t>RF-24-08 DICTYON</t>
    <phoneticPr fontId="1"/>
  </si>
  <si>
    <t>HYDENRIM ER-01</t>
    <phoneticPr fontId="1"/>
  </si>
  <si>
    <t>HYDENRIM MG-09</t>
    <phoneticPr fontId="1"/>
  </si>
  <si>
    <t>HYDENRIM BZ-01</t>
    <phoneticPr fontId="1"/>
  </si>
  <si>
    <t>マズルエフェクトNo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</si>
</sst>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2" xfId="0" applyFont="1" applyBorder="1">
      <alignment vertical="center"/>
    </xf>
    <xf numFmtId="0" fontId="0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7" totalsRowCount="1">
  <autoFilter ref="B2:S6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時間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SUBTOTAL(101,Sheet1!$M$3:$M$6)</totalsRowFormula>
    </tableColumn>
    <tableColumn id="14" name="弾EfcNo"/>
    <tableColumn id="15" name="軌跡EfcNo"/>
    <tableColumn id="16" name="着弾EfcNo"/>
    <tableColumn id="13" name="マズルエフェクト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customWidth="1"/>
    <col min="3" max="3" width="24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9" width="13.875" bestFit="1" customWidth="1"/>
    <col min="10" max="10" width="12.125" bestFit="1" customWidth="1"/>
    <col min="11" max="11" width="22.125" bestFit="1" customWidth="1"/>
    <col min="12" max="12" width="10.25" bestFit="1" customWidth="1"/>
    <col min="13" max="13" width="20.125" customWidth="1"/>
    <col min="14" max="14" width="11.25" bestFit="1" customWidth="1"/>
    <col min="15" max="16" width="13.25" bestFit="1" customWidth="1"/>
    <col min="17" max="17" width="20.87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30</v>
      </c>
      <c r="M1" t="s">
        <v>32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31</v>
      </c>
      <c r="I2" t="s">
        <v>40</v>
      </c>
      <c r="J2" t="s">
        <v>39</v>
      </c>
      <c r="K2" t="s">
        <v>28</v>
      </c>
      <c r="L2" t="s">
        <v>29</v>
      </c>
      <c r="M2" s="4" t="s">
        <v>33</v>
      </c>
      <c r="N2" s="4" t="s">
        <v>34</v>
      </c>
      <c r="O2" s="4" t="s">
        <v>35</v>
      </c>
      <c r="P2" s="4" t="s">
        <v>36</v>
      </c>
      <c r="Q2" s="4" t="s">
        <v>45</v>
      </c>
      <c r="R2" s="4" t="s">
        <v>37</v>
      </c>
      <c r="S2" s="4" t="s">
        <v>38</v>
      </c>
    </row>
    <row r="3" spans="1:20" x14ac:dyDescent="0.4">
      <c r="A3" s="2" t="s">
        <v>20</v>
      </c>
      <c r="B3">
        <v>0</v>
      </c>
      <c r="C3" t="s">
        <v>41</v>
      </c>
      <c r="D3">
        <v>150</v>
      </c>
      <c r="E3">
        <v>50</v>
      </c>
      <c r="F3">
        <v>12000</v>
      </c>
      <c r="G3">
        <v>10</v>
      </c>
      <c r="H3">
        <v>15</v>
      </c>
      <c r="I3">
        <v>30</v>
      </c>
      <c r="J3">
        <v>15</v>
      </c>
      <c r="K3">
        <v>10</v>
      </c>
      <c r="L3">
        <v>30</v>
      </c>
      <c r="M3" s="3">
        <v>1</v>
      </c>
      <c r="N3" s="3">
        <v>2</v>
      </c>
      <c r="O3" s="3">
        <v>3</v>
      </c>
      <c r="P3" s="3">
        <v>4</v>
      </c>
      <c r="Q3" s="3">
        <v>0</v>
      </c>
      <c r="R3" s="3">
        <v>0</v>
      </c>
      <c r="S3" s="3">
        <v>1</v>
      </c>
      <c r="T3" s="2" t="s">
        <v>18</v>
      </c>
    </row>
    <row r="4" spans="1:20" x14ac:dyDescent="0.4">
      <c r="A4" s="2"/>
      <c r="B4">
        <v>1</v>
      </c>
      <c r="C4" t="s">
        <v>44</v>
      </c>
      <c r="D4">
        <v>1200</v>
      </c>
      <c r="E4">
        <v>12</v>
      </c>
      <c r="F4">
        <v>15000</v>
      </c>
      <c r="G4">
        <v>64</v>
      </c>
      <c r="H4">
        <v>150</v>
      </c>
      <c r="I4">
        <v>100</v>
      </c>
      <c r="J4">
        <v>2</v>
      </c>
      <c r="K4">
        <v>60</v>
      </c>
      <c r="L4">
        <v>5</v>
      </c>
      <c r="M4" s="3">
        <v>1</v>
      </c>
      <c r="N4" s="3">
        <v>8</v>
      </c>
      <c r="O4" s="3">
        <v>9</v>
      </c>
      <c r="P4" s="3">
        <v>10</v>
      </c>
      <c r="Q4" s="3">
        <v>0</v>
      </c>
      <c r="R4" s="3">
        <v>0</v>
      </c>
      <c r="S4" s="3">
        <v>1</v>
      </c>
      <c r="T4" s="2"/>
    </row>
    <row r="5" spans="1:20" x14ac:dyDescent="0.4">
      <c r="A5" s="2"/>
      <c r="B5">
        <v>2</v>
      </c>
      <c r="C5" s="5" t="s">
        <v>43</v>
      </c>
      <c r="D5">
        <v>12</v>
      </c>
      <c r="E5">
        <v>56</v>
      </c>
      <c r="F5">
        <v>8000</v>
      </c>
      <c r="G5">
        <v>2</v>
      </c>
      <c r="H5">
        <v>4</v>
      </c>
      <c r="I5">
        <v>50</v>
      </c>
      <c r="J5">
        <v>250</v>
      </c>
      <c r="K5">
        <v>36</v>
      </c>
      <c r="L5">
        <v>1000</v>
      </c>
      <c r="M5">
        <v>1</v>
      </c>
      <c r="N5">
        <v>5</v>
      </c>
      <c r="O5">
        <v>6</v>
      </c>
      <c r="P5">
        <v>7</v>
      </c>
      <c r="Q5">
        <v>0</v>
      </c>
      <c r="R5">
        <v>0</v>
      </c>
      <c r="S5">
        <v>1</v>
      </c>
      <c r="T5" s="2"/>
    </row>
    <row r="6" spans="1:20" x14ac:dyDescent="0.4">
      <c r="A6" s="2"/>
      <c r="B6">
        <v>3</v>
      </c>
      <c r="C6" s="6" t="s">
        <v>42</v>
      </c>
      <c r="D6">
        <v>320</v>
      </c>
      <c r="E6">
        <v>60</v>
      </c>
      <c r="F6">
        <v>15000</v>
      </c>
      <c r="G6">
        <v>256</v>
      </c>
      <c r="H6">
        <v>30</v>
      </c>
      <c r="I6">
        <v>50</v>
      </c>
      <c r="J6">
        <v>120</v>
      </c>
      <c r="K6">
        <v>40</v>
      </c>
      <c r="L6">
        <v>50</v>
      </c>
      <c r="M6">
        <v>1</v>
      </c>
      <c r="N6">
        <v>11</v>
      </c>
      <c r="O6">
        <v>12</v>
      </c>
      <c r="P6">
        <v>13</v>
      </c>
      <c r="Q6">
        <v>0</v>
      </c>
      <c r="R6">
        <v>0</v>
      </c>
      <c r="S6">
        <v>1</v>
      </c>
      <c r="T6" s="2"/>
    </row>
    <row r="7" spans="1:20" x14ac:dyDescent="0.4">
      <c r="A7" s="2" t="s">
        <v>21</v>
      </c>
      <c r="B7" t="s">
        <v>10</v>
      </c>
      <c r="D7">
        <f>SUBTOTAL(101,テーブル1[攻撃力])</f>
        <v>420.5</v>
      </c>
      <c r="E7">
        <f>SUBTOTAL(101,テーブル1[弾速])</f>
        <v>44.5</v>
      </c>
      <c r="F7">
        <f>SUBTOTAL(101,テーブル1[射程距離])</f>
        <v>12500</v>
      </c>
      <c r="G7">
        <f>SUBTOTAL(101,テーブル1[消費EN])</f>
        <v>83</v>
      </c>
      <c r="H7">
        <f>SUBTOTAL(101,テーブル1[装填時間])</f>
        <v>49.75</v>
      </c>
      <c r="I7">
        <f>SUBTOTAL(101,テーブル1[ロック時間])</f>
        <v>57.5</v>
      </c>
      <c r="J7">
        <f>SUBTOTAL(101,テーブル1[射撃安定])</f>
        <v>96.75</v>
      </c>
      <c r="K7">
        <f>SUBTOTAL(101,テーブル1[マガジン再装填時間])</f>
        <v>36.5</v>
      </c>
      <c r="L7">
        <f>SUBTOTAL(101,テーブル1[装弾数])</f>
        <v>271.25</v>
      </c>
      <c r="M7">
        <f>SUBTOTAL(101,Sheet1!$M$3:$M$6)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2019-01-15T05:54:25Z</dcterms:modified>
</cp:coreProperties>
</file>