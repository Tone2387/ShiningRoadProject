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" l="1"/>
  <c r="K8" i="1" l="1"/>
  <c r="L8" i="1"/>
  <c r="I8" i="1"/>
  <c r="F8" i="1" l="1"/>
  <c r="D8" i="1"/>
  <c r="E8" i="1"/>
  <c r="G8" i="1"/>
  <c r="H8" i="1"/>
  <c r="J8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<sst xmlns="http://schemas.openxmlformats.org/spreadsheetml/2006/main" count="52" uniqueCount="47">
  <si>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</si>
  <si>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</si>
  <si>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</si>
  <si>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</si>
  <si>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</si>
  <si>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</si>
  <si>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</si>
  <si>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</si>
  <si>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</si>
  <si>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</si>
  <si>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</si>
  <si>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</si>
  <si>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</si>
  <si>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</si>
  <si>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</si>
  <si>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</si>
  <si>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</si>
  <si>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</si>
  <si>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</si>
  <si>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</si>
  <si>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</si>
  <si>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</si>
  <si>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</si>
  <si>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</si>
  <si>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</si>
  <si>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</si>
  <si>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</si>
  <si>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</si>
  <si>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</si>
  <si>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</si>
  <si>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</si>
  <si>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</si>
  <si>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</si>
  <si>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</si>
  <si>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</si>
  <si>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</si>
  <si>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</si>
  <si>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</si>
  <si>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</si>
  <si>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</si>
  <si>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RedGun</t>
    <phoneticPr fontId="1"/>
  </si>
  <si>
    <t>BlueGun</t>
    <phoneticPr fontId="1"/>
  </si>
  <si>
    <t>DAINOBORI RIFLE</t>
    <phoneticPr fontId="1"/>
  </si>
  <si>
    <t>ロック時間</t>
    <rPh sb="3" eb="5">
      <t>ジカン</t>
    </rPh>
    <phoneticPr fontId="1"/>
  </si>
  <si>
    <t>薬莢エフェクトNo</t>
    <rPh sb="0" eb="2">
      <t>ヤッキョウ</t>
    </rPh>
    <phoneticPr fontId="1"/>
  </si>
  <si>
    <t>DAINOBORI BAZOOKA</t>
    <phoneticPr fontId="1"/>
  </si>
  <si>
    <t>DAINOBORI MASINGUN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</si>
</sst>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8" totalsRowCount="1">
  <autoFilter ref="B2:S7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SUBTOTAL(101,Sheet1!$M$3:$M$7)</totalsRowFormula>
    </tableColumn>
    <tableColumn id="14" name="弾EfcNo"/>
    <tableColumn id="15" name="軌跡EfcNo"/>
    <tableColumn id="16" name="着弾EfcNo"/>
    <tableColumn id="13" name="薬莢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8"/>
  <sheetViews>
    <sheetView tabSelected="1" zoomScale="70" zoomScaleNormal="70" workbookViewId="0">
      <selection activeCell="B8" sqref="B8"/>
    </sheetView>
  </sheetViews>
  <sheetFormatPr defaultRowHeight="18.75" x14ac:dyDescent="0.4"/>
  <cols>
    <col min="1" max="1" width="27.625" bestFit="1" customWidth="1"/>
    <col min="2" max="2" width="29.75" customWidth="1"/>
    <col min="3" max="3" width="17.5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43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44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42</v>
      </c>
      <c r="D3">
        <v>150</v>
      </c>
      <c r="E3">
        <v>50</v>
      </c>
      <c r="F3">
        <v>30</v>
      </c>
      <c r="G3">
        <v>10</v>
      </c>
      <c r="H3">
        <v>15</v>
      </c>
      <c r="I3">
        <v>30</v>
      </c>
      <c r="J3">
        <v>15</v>
      </c>
      <c r="K3">
        <v>10</v>
      </c>
      <c r="L3">
        <v>30</v>
      </c>
      <c r="M3" s="3">
        <v>1</v>
      </c>
      <c r="N3" s="3">
        <v>0</v>
      </c>
      <c r="O3" s="3">
        <v>1</v>
      </c>
      <c r="P3" s="3">
        <v>2</v>
      </c>
      <c r="Q3" s="3">
        <v>0</v>
      </c>
      <c r="R3" s="3">
        <v>0</v>
      </c>
      <c r="S3" s="3">
        <v>1</v>
      </c>
      <c r="T3" s="2" t="s">
        <v>18</v>
      </c>
    </row>
    <row r="4" spans="1:20" x14ac:dyDescent="0.4">
      <c r="A4" s="2"/>
      <c r="B4">
        <v>1</v>
      </c>
      <c r="C4" t="s">
        <v>45</v>
      </c>
      <c r="D4">
        <v>1200</v>
      </c>
      <c r="E4">
        <v>12</v>
      </c>
      <c r="F4">
        <v>360</v>
      </c>
      <c r="G4">
        <v>64</v>
      </c>
      <c r="H4">
        <v>150</v>
      </c>
      <c r="I4">
        <v>100</v>
      </c>
      <c r="J4">
        <v>2</v>
      </c>
      <c r="K4">
        <v>300</v>
      </c>
      <c r="L4">
        <v>5</v>
      </c>
      <c r="M4" s="3">
        <v>1</v>
      </c>
      <c r="N4" s="3">
        <v>0</v>
      </c>
      <c r="O4" s="3">
        <v>1</v>
      </c>
      <c r="P4" s="3">
        <v>2</v>
      </c>
      <c r="Q4" s="3">
        <v>0</v>
      </c>
      <c r="R4" s="3">
        <v>0</v>
      </c>
      <c r="S4" s="3">
        <v>1</v>
      </c>
      <c r="T4" s="2"/>
    </row>
    <row r="5" spans="1:20" x14ac:dyDescent="0.4">
      <c r="A5" s="2"/>
      <c r="B5">
        <v>2</v>
      </c>
      <c r="C5" s="5" t="s">
        <v>46</v>
      </c>
      <c r="D5">
        <v>12</v>
      </c>
      <c r="E5">
        <v>56</v>
      </c>
      <c r="F5">
        <v>65</v>
      </c>
      <c r="G5">
        <v>2</v>
      </c>
      <c r="H5">
        <v>4</v>
      </c>
      <c r="I5">
        <v>50</v>
      </c>
      <c r="J5">
        <v>250</v>
      </c>
      <c r="K5">
        <v>36</v>
      </c>
      <c r="L5">
        <v>1000</v>
      </c>
      <c r="M5">
        <v>1</v>
      </c>
      <c r="N5">
        <v>0</v>
      </c>
      <c r="O5">
        <v>1</v>
      </c>
      <c r="P5">
        <v>2</v>
      </c>
      <c r="Q5">
        <v>0</v>
      </c>
      <c r="R5">
        <v>0</v>
      </c>
      <c r="S5">
        <v>1</v>
      </c>
      <c r="T5" s="2"/>
    </row>
    <row r="6" spans="1:20" x14ac:dyDescent="0.4">
      <c r="B6">
        <v>3</v>
      </c>
      <c r="C6" t="s">
        <v>41</v>
      </c>
      <c r="D6">
        <v>80</v>
      </c>
      <c r="E6">
        <v>12</v>
      </c>
      <c r="F6">
        <v>13</v>
      </c>
      <c r="G6">
        <v>14</v>
      </c>
      <c r="H6">
        <v>15</v>
      </c>
      <c r="I6">
        <v>20</v>
      </c>
      <c r="J6">
        <v>17</v>
      </c>
      <c r="K6">
        <v>18</v>
      </c>
      <c r="L6">
        <v>19</v>
      </c>
      <c r="M6" s="3">
        <v>1</v>
      </c>
      <c r="N6" s="3">
        <v>0</v>
      </c>
      <c r="O6" s="3">
        <v>1</v>
      </c>
      <c r="P6" s="3">
        <v>2</v>
      </c>
      <c r="Q6" s="3">
        <v>0</v>
      </c>
      <c r="R6" s="3">
        <v>0</v>
      </c>
      <c r="S6" s="3">
        <v>1</v>
      </c>
    </row>
    <row r="7" spans="1:20" x14ac:dyDescent="0.4">
      <c r="B7">
        <v>4</v>
      </c>
      <c r="C7" s="5" t="s">
        <v>40</v>
      </c>
      <c r="D7">
        <v>123</v>
      </c>
      <c r="E7">
        <v>42</v>
      </c>
      <c r="F7">
        <v>43</v>
      </c>
      <c r="G7">
        <v>44</v>
      </c>
      <c r="H7">
        <v>45</v>
      </c>
      <c r="I7">
        <v>50</v>
      </c>
      <c r="J7">
        <v>47</v>
      </c>
      <c r="K7">
        <v>48</v>
      </c>
      <c r="L7">
        <v>49</v>
      </c>
      <c r="M7">
        <v>1</v>
      </c>
      <c r="N7">
        <v>0</v>
      </c>
      <c r="O7">
        <v>1</v>
      </c>
      <c r="P7">
        <v>2</v>
      </c>
      <c r="Q7">
        <v>0</v>
      </c>
      <c r="R7">
        <v>0</v>
      </c>
      <c r="S7">
        <v>1</v>
      </c>
    </row>
    <row r="8" spans="1:20" x14ac:dyDescent="0.4">
      <c r="A8" s="2" t="s">
        <v>21</v>
      </c>
      <c r="B8" t="s">
        <v>10</v>
      </c>
      <c r="D8">
        <f>SUBTOTAL(101,テーブル1[攻撃力])</f>
        <v>313</v>
      </c>
      <c r="E8">
        <f>SUBTOTAL(101,テーブル1[弾速])</f>
        <v>34.4</v>
      </c>
      <c r="F8">
        <f>SUBTOTAL(101,テーブル1[射程距離])</f>
        <v>102.2</v>
      </c>
      <c r="G8">
        <f>SUBTOTAL(101,テーブル1[消費EN])</f>
        <v>26.8</v>
      </c>
      <c r="H8">
        <f>SUBTOTAL(101,テーブル1[装填時間])</f>
        <v>45.8</v>
      </c>
      <c r="I8">
        <f>SUBTOTAL(101,テーブル1[ロック時間])</f>
        <v>50</v>
      </c>
      <c r="J8">
        <f>SUBTOTAL(101,テーブル1[射撃安定])</f>
        <v>66.2</v>
      </c>
      <c r="K8">
        <f>SUBTOTAL(101,テーブル1[マガジン再装填時間])</f>
        <v>82.4</v>
      </c>
      <c r="L8">
        <f>SUBTOTAL(101,テーブル1[装弾数])</f>
        <v>220.6</v>
      </c>
      <c r="M8">
        <f>SUBTOTAL(101,Sheet1!$M$3:$M$7)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2018-09-14T02:56:51Z</dcterms:modified>
</cp:coreProperties>
</file>