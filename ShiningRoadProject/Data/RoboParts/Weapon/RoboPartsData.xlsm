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RoboParts\Weap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" i="1" l="1"/>
  <c r="K7" i="1" l="1"/>
  <c r="L7" i="1"/>
  <c r="I7" i="1"/>
  <c r="F7" i="1" l="1"/>
  <c r="D7" i="1"/>
  <c r="E7" i="1"/>
  <c r="G7" i="1"/>
  <c r="H7" i="1"/>
  <c r="J7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<sst xmlns="http://schemas.openxmlformats.org/spreadsheetml/2006/main" count="51" uniqueCount="46">
  <si>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</si>
  <si>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</si>
  <si>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</si>
  <si>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</si>
  <si>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</si>
  <si>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</si>
  <si>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</si>
  <si>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</si>
  <si>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</si>
  <si>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</si>
  <si>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</si>
  <si>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</si>
  <si>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</si>
  <si>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</si>
  <si>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</si>
  <si>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</si>
  <si>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</si>
  <si>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</si>
  <si>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</si>
  <si>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</si>
  <si>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</si>
  <si>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</si>
  <si>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</si>
  <si>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</si>
  <si>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攻撃力</t>
    <rPh sb="0" eb="3">
      <t>コウゲキリョク</t>
    </rPh>
    <phoneticPr fontId="1"/>
  </si>
  <si>
    <t>弾速</t>
    <rPh sb="0" eb="2">
      <t>ダンソク</t>
    </rPh>
    <phoneticPr fontId="1"/>
  </si>
  <si>
    <t>射程距離</t>
    <rPh sb="0" eb="2">
      <t>シャテイ</t>
    </rPh>
    <rPh sb="2" eb="4">
      <t>キョリ</t>
    </rPh>
    <phoneticPr fontId="1"/>
  </si>
  <si>
    <t>消費EN</t>
    <rPh sb="0" eb="2">
      <t>ショウヒ</t>
    </rPh>
    <phoneticPr fontId="1"/>
  </si>
  <si>
    <t>マガジン再装填時間</t>
    <rPh sb="4" eb="7">
      <t>サイソウテン</t>
    </rPh>
    <rPh sb="7" eb="9">
      <t>ジカン</t>
    </rPh>
    <phoneticPr fontId="1"/>
  </si>
  <si>
    <t>装弾数</t>
    <rPh sb="0" eb="2">
      <t>ソウダン</t>
    </rPh>
    <rPh sb="2" eb="3">
      <t>スウ</t>
    </rPh>
    <phoneticPr fontId="1"/>
  </si>
  <si>
    <t>武器パーツ</t>
    <rPh sb="0" eb="2">
      <t>ブキ</t>
    </rPh>
    <phoneticPr fontId="1"/>
  </si>
  <si>
    <t>装填時間</t>
    <rPh sb="0" eb="2">
      <t>ソウテン</t>
    </rPh>
    <rPh sb="2" eb="4">
      <t>ジカン</t>
    </rPh>
    <phoneticPr fontId="1"/>
  </si>
  <si>
    <t>ここから隠しステータス</t>
    <rPh sb="4" eb="5">
      <t>カク</t>
    </rPh>
    <phoneticPr fontId="1"/>
  </si>
  <si>
    <t>弾当たり判定サイズ</t>
    <rPh sb="0" eb="1">
      <t>タマ</t>
    </rPh>
    <rPh sb="1" eb="2">
      <t>ア</t>
    </rPh>
    <rPh sb="4" eb="6">
      <t>ハンテイ</t>
    </rPh>
    <phoneticPr fontId="1"/>
  </si>
  <si>
    <t>弾EfcNo</t>
    <rPh sb="0" eb="1">
      <t>タマ</t>
    </rPh>
    <phoneticPr fontId="1"/>
  </si>
  <si>
    <t>軌跡EfcNo</t>
    <rPh sb="0" eb="2">
      <t>キセキ</t>
    </rPh>
    <phoneticPr fontId="1"/>
  </si>
  <si>
    <t>着弾EfcNo</t>
    <rPh sb="0" eb="2">
      <t>チャクダン</t>
    </rPh>
    <phoneticPr fontId="1"/>
  </si>
  <si>
    <t>発射SeNo</t>
    <rPh sb="0" eb="2">
      <t>ハッシャ</t>
    </rPh>
    <phoneticPr fontId="1"/>
  </si>
  <si>
    <t>着弾SeNo</t>
    <rPh sb="0" eb="2">
      <t>チャクダン</t>
    </rPh>
    <phoneticPr fontId="1"/>
  </si>
  <si>
    <t>射撃安定</t>
    <rPh sb="0" eb="2">
      <t>シャゲキ</t>
    </rPh>
    <rPh sb="2" eb="4">
      <t>アンテイ</t>
    </rPh>
    <phoneticPr fontId="1"/>
  </si>
  <si>
    <t>ロック時間</t>
    <rPh sb="3" eb="5">
      <t>ジカン</t>
    </rPh>
    <phoneticPr fontId="1"/>
  </si>
  <si>
    <t>RF-24-08 DICTYON</t>
    <phoneticPr fontId="1"/>
  </si>
  <si>
    <t>HYDENRIM ER-01</t>
    <phoneticPr fontId="1"/>
  </si>
  <si>
    <t>HYDENRIM MG-09</t>
    <phoneticPr fontId="1"/>
  </si>
  <si>
    <t>HYDENRIM BZ-01</t>
    <phoneticPr fontId="1"/>
  </si>
  <si>
    <t>マズルエフェクトNo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</si>
</sst>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2" xfId="0" applyFont="1" applyBorder="1">
      <alignment vertical="center"/>
    </xf>
    <xf numFmtId="0" fontId="0" fillId="0" borderId="0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S7" totalsRowCount="1">
  <autoFilter ref="B2:S6"/>
  <tableColumns count="18">
    <tableColumn id="1" name="パーツ番号(モデル名に連結)" totalsRowLabel="平均"/>
    <tableColumn id="12" name="名前(英字のみ)"/>
    <tableColumn id="2" name="攻撃力" totalsRowFunction="average"/>
    <tableColumn id="3" name="弾速" totalsRowFunction="average"/>
    <tableColumn id="4" name="射程距離" totalsRowFunction="average"/>
    <tableColumn id="5" name="消費EN" totalsRowFunction="average"/>
    <tableColumn id="6" name="装填時間" totalsRowFunction="average"/>
    <tableColumn id="11" name="ロック時間" totalsRowFunction="average"/>
    <tableColumn id="8" name="射撃安定" totalsRowFunction="average"/>
    <tableColumn id="9" name="マガジン再装填時間" totalsRowFunction="average"/>
    <tableColumn id="10" name="装弾数" totalsRowFunction="average"/>
    <tableColumn id="7" name="弾当たり判定サイズ" totalsRowFunction="custom">
      <totalsRowFormula>SUBTOTAL(101,Sheet1!$M$3:$M$6)</totalsRowFormula>
    </tableColumn>
    <tableColumn id="14" name="弾EfcNo"/>
    <tableColumn id="15" name="軌跡EfcNo"/>
    <tableColumn id="16" name="着弾EfcNo"/>
    <tableColumn id="13" name="マズルエフェクトNo"/>
    <tableColumn id="17" name="発射SeNo"/>
    <tableColumn id="18" name="着弾Se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7"/>
  <sheetViews>
    <sheetView tabSelected="1" zoomScale="70" zoomScaleNormal="70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75" customWidth="1"/>
    <col min="3" max="3" width="24" bestFit="1" customWidth="1"/>
    <col min="4" max="4" width="10.25" bestFit="1" customWidth="1"/>
    <col min="5" max="5" width="8.5" bestFit="1" customWidth="1"/>
    <col min="6" max="6" width="12.125" bestFit="1" customWidth="1"/>
    <col min="7" max="7" width="11" bestFit="1" customWidth="1"/>
    <col min="8" max="8" width="12.125" bestFit="1" customWidth="1"/>
    <col min="9" max="9" width="13.875" bestFit="1" customWidth="1"/>
    <col min="10" max="10" width="12.125" bestFit="1" customWidth="1"/>
    <col min="11" max="11" width="22.125" bestFit="1" customWidth="1"/>
    <col min="12" max="12" width="10.25" bestFit="1" customWidth="1"/>
    <col min="13" max="13" width="20.125" customWidth="1"/>
    <col min="14" max="14" width="11.25" bestFit="1" customWidth="1"/>
    <col min="15" max="16" width="13.25" bestFit="1" customWidth="1"/>
    <col min="17" max="17" width="20.875" bestFit="1" customWidth="1"/>
    <col min="18" max="19" width="12.5" bestFit="1" customWidth="1"/>
    <col min="20" max="20" width="22.75" bestFit="1" customWidth="1"/>
    <col min="22" max="22" width="22.75" bestFit="1" customWidth="1"/>
    <col min="23" max="23" width="7.125" customWidth="1"/>
    <col min="24" max="24" width="13" bestFit="1" customWidth="1"/>
    <col min="25" max="25" width="4.25" customWidth="1"/>
    <col min="26" max="26" width="27.625" bestFit="1" customWidth="1"/>
  </cols>
  <sheetData>
    <row r="1" spans="1:20" x14ac:dyDescent="0.4">
      <c r="A1" t="s">
        <v>30</v>
      </c>
      <c r="M1" t="s">
        <v>32</v>
      </c>
    </row>
    <row r="2" spans="1:20" x14ac:dyDescent="0.4">
      <c r="B2" t="s">
        <v>17</v>
      </c>
      <c r="C2" t="s">
        <v>22</v>
      </c>
      <c r="D2" t="s">
        <v>24</v>
      </c>
      <c r="E2" t="s">
        <v>25</v>
      </c>
      <c r="F2" t="s">
        <v>26</v>
      </c>
      <c r="G2" t="s">
        <v>27</v>
      </c>
      <c r="H2" t="s">
        <v>31</v>
      </c>
      <c r="I2" t="s">
        <v>40</v>
      </c>
      <c r="J2" t="s">
        <v>39</v>
      </c>
      <c r="K2" t="s">
        <v>28</v>
      </c>
      <c r="L2" t="s">
        <v>29</v>
      </c>
      <c r="M2" s="4" t="s">
        <v>33</v>
      </c>
      <c r="N2" s="4" t="s">
        <v>34</v>
      </c>
      <c r="O2" s="4" t="s">
        <v>35</v>
      </c>
      <c r="P2" s="4" t="s">
        <v>36</v>
      </c>
      <c r="Q2" s="4" t="s">
        <v>45</v>
      </c>
      <c r="R2" s="4" t="s">
        <v>37</v>
      </c>
      <c r="S2" s="4" t="s">
        <v>38</v>
      </c>
    </row>
    <row r="3" spans="1:20" x14ac:dyDescent="0.4">
      <c r="A3" s="2" t="s">
        <v>20</v>
      </c>
      <c r="B3">
        <v>0</v>
      </c>
      <c r="C3" t="s">
        <v>41</v>
      </c>
      <c r="D3">
        <v>150</v>
      </c>
      <c r="E3">
        <v>500</v>
      </c>
      <c r="F3">
        <v>12000</v>
      </c>
      <c r="G3">
        <v>0</v>
      </c>
      <c r="H3">
        <v>15</v>
      </c>
      <c r="I3">
        <v>30</v>
      </c>
      <c r="J3">
        <v>15</v>
      </c>
      <c r="K3">
        <v>40</v>
      </c>
      <c r="L3">
        <v>30</v>
      </c>
      <c r="M3" s="3">
        <v>1</v>
      </c>
      <c r="N3" s="3">
        <v>3</v>
      </c>
      <c r="O3" s="3">
        <v>4</v>
      </c>
      <c r="P3" s="3">
        <v>5</v>
      </c>
      <c r="Q3" s="3">
        <v>6</v>
      </c>
      <c r="R3" s="3">
        <v>3</v>
      </c>
      <c r="S3" s="3">
        <v>4</v>
      </c>
      <c r="T3" s="2" t="s">
        <v>18</v>
      </c>
    </row>
    <row r="4" spans="1:20" x14ac:dyDescent="0.4">
      <c r="A4" s="2"/>
      <c r="B4">
        <v>1</v>
      </c>
      <c r="C4" t="s">
        <v>44</v>
      </c>
      <c r="D4">
        <v>1200</v>
      </c>
      <c r="E4">
        <v>120</v>
      </c>
      <c r="F4">
        <v>15000</v>
      </c>
      <c r="G4">
        <v>0</v>
      </c>
      <c r="H4">
        <v>150</v>
      </c>
      <c r="I4">
        <v>100</v>
      </c>
      <c r="J4">
        <v>2</v>
      </c>
      <c r="K4">
        <v>60</v>
      </c>
      <c r="L4">
        <v>5</v>
      </c>
      <c r="M4" s="3">
        <v>1</v>
      </c>
      <c r="N4" s="3">
        <v>11</v>
      </c>
      <c r="O4" s="3">
        <v>12</v>
      </c>
      <c r="P4" s="3">
        <v>13</v>
      </c>
      <c r="Q4" s="3">
        <v>14</v>
      </c>
      <c r="R4" s="3">
        <v>7</v>
      </c>
      <c r="S4" s="3">
        <v>8</v>
      </c>
      <c r="T4" s="2"/>
    </row>
    <row r="5" spans="1:20" x14ac:dyDescent="0.4">
      <c r="A5" s="2"/>
      <c r="B5">
        <v>2</v>
      </c>
      <c r="C5" s="5" t="s">
        <v>43</v>
      </c>
      <c r="D5">
        <v>10</v>
      </c>
      <c r="E5">
        <v>560</v>
      </c>
      <c r="F5">
        <v>8000</v>
      </c>
      <c r="G5">
        <v>0</v>
      </c>
      <c r="H5">
        <v>4</v>
      </c>
      <c r="I5">
        <v>50</v>
      </c>
      <c r="J5">
        <v>250</v>
      </c>
      <c r="K5">
        <v>80</v>
      </c>
      <c r="L5">
        <v>1000</v>
      </c>
      <c r="M5">
        <v>1</v>
      </c>
      <c r="N5">
        <v>7</v>
      </c>
      <c r="O5">
        <v>8</v>
      </c>
      <c r="P5">
        <v>9</v>
      </c>
      <c r="Q5">
        <v>10</v>
      </c>
      <c r="R5">
        <v>5</v>
      </c>
      <c r="S5">
        <v>6</v>
      </c>
      <c r="T5" s="2"/>
    </row>
    <row r="6" spans="1:20" x14ac:dyDescent="0.4">
      <c r="A6" s="2"/>
      <c r="B6">
        <v>3</v>
      </c>
      <c r="C6" s="6" t="s">
        <v>42</v>
      </c>
      <c r="D6">
        <v>500</v>
      </c>
      <c r="E6">
        <v>600</v>
      </c>
      <c r="F6">
        <v>15000</v>
      </c>
      <c r="G6">
        <v>100</v>
      </c>
      <c r="H6">
        <v>30</v>
      </c>
      <c r="I6">
        <v>50</v>
      </c>
      <c r="J6">
        <v>120</v>
      </c>
      <c r="K6">
        <v>40</v>
      </c>
      <c r="L6">
        <v>50</v>
      </c>
      <c r="M6">
        <v>1</v>
      </c>
      <c r="N6">
        <v>15</v>
      </c>
      <c r="O6">
        <v>16</v>
      </c>
      <c r="P6">
        <v>17</v>
      </c>
      <c r="Q6">
        <v>18</v>
      </c>
      <c r="R6">
        <v>9</v>
      </c>
      <c r="S6">
        <v>10</v>
      </c>
      <c r="T6" s="2"/>
    </row>
    <row r="7" spans="1:20" x14ac:dyDescent="0.4">
      <c r="A7" s="2" t="s">
        <v>21</v>
      </c>
      <c r="B7" t="s">
        <v>10</v>
      </c>
      <c r="D7">
        <f>SUBTOTAL(101,テーブル1[攻撃力])</f>
        <v>465</v>
      </c>
      <c r="E7">
        <f>SUBTOTAL(101,テーブル1[弾速])</f>
        <v>445</v>
      </c>
      <c r="F7">
        <f>SUBTOTAL(101,テーブル1[射程距離])</f>
        <v>12500</v>
      </c>
      <c r="G7">
        <f>SUBTOTAL(101,テーブル1[消費EN])</f>
        <v>25</v>
      </c>
      <c r="H7">
        <f>SUBTOTAL(101,テーブル1[装填時間])</f>
        <v>49.75</v>
      </c>
      <c r="I7">
        <f>SUBTOTAL(101,テーブル1[ロック時間])</f>
        <v>57.5</v>
      </c>
      <c r="J7">
        <f>SUBTOTAL(101,テーブル1[射撃安定])</f>
        <v>96.75</v>
      </c>
      <c r="K7">
        <f>SUBTOTAL(101,テーブル1[マガジン再装填時間])</f>
        <v>55</v>
      </c>
      <c r="L7">
        <f>SUBTOTAL(101,テーブル1[装弾数])</f>
        <v>271.25</v>
      </c>
      <c r="M7">
        <f>SUBTOTAL(101,Sheet1!$M$3:$M$6)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2019-01-21T05:12:21Z</dcterms:modified>
</cp:coreProperties>
</file>