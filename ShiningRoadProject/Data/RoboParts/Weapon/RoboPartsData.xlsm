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<sst xmlns="http://schemas.openxmlformats.org/spreadsheetml/2006/main" count="51" uniqueCount="46">
  <si>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</si>
  <si>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</si>
  <si>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</si>
  <si>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</si>
  <si>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</si>
  <si>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</si>
  <si>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</si>
  <si>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</si>
  <si>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</si>
  <si>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</si>
  <si>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</si>
  <si>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</si>
  <si>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</si>
  <si>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</si>
  <si>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</si>
  <si>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</si>
  <si>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</si>
  <si>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</si>
  <si>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</si>
  <si>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</si>
  <si>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</si>
  <si>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</si>
  <si>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</si>
  <si>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</si>
  <si>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</si>
  <si>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</si>
  <si>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</si>
  <si>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</si>
  <si>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</si>
  <si>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</si>
  <si>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</si>
  <si>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</si>
  <si>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</si>
  <si>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</si>
  <si>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</si>
  <si>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</si>
  <si>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</si>
  <si>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</si>
  <si>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</si>
  <si>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</si>
  <si>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ロック時間</t>
    <rPh sb="3" eb="5">
      <t>ジカン</t>
    </rPh>
    <phoneticPr fontId="1"/>
  </si>
  <si>
    <t>RF-24-08 DICTYON</t>
    <phoneticPr fontId="1"/>
  </si>
  <si>
    <t>HYDENRIM ER-01</t>
    <phoneticPr fontId="1"/>
  </si>
  <si>
    <t>HYDENRIM MG-09</t>
    <phoneticPr fontId="1"/>
  </si>
  <si>
    <t>HYDENRIM BZ-01</t>
    <phoneticPr fontId="1"/>
  </si>
  <si>
    <t>マズルエフェクトNo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</si>
</sst>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マズル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24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40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45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41</v>
      </c>
      <c r="D3">
        <v>150</v>
      </c>
      <c r="E3">
        <v>500</v>
      </c>
      <c r="F3">
        <v>12000</v>
      </c>
      <c r="G3">
        <v>0</v>
      </c>
      <c r="H3">
        <v>15</v>
      </c>
      <c r="I3">
        <v>30</v>
      </c>
      <c r="J3">
        <v>15</v>
      </c>
      <c r="K3">
        <v>40</v>
      </c>
      <c r="L3">
        <v>30</v>
      </c>
      <c r="M3" s="3">
        <v>1</v>
      </c>
      <c r="N3" s="3">
        <v>3</v>
      </c>
      <c r="O3" s="3">
        <v>4</v>
      </c>
      <c r="P3" s="3">
        <v>5</v>
      </c>
      <c r="Q3" s="3">
        <v>6</v>
      </c>
      <c r="R3" s="3">
        <v>3</v>
      </c>
      <c r="S3" s="3">
        <v>4</v>
      </c>
      <c r="T3" s="2" t="s">
        <v>18</v>
      </c>
    </row>
    <row r="4" spans="1:20" x14ac:dyDescent="0.4">
      <c r="A4" s="2"/>
      <c r="B4">
        <v>1</v>
      </c>
      <c r="C4" t="s">
        <v>44</v>
      </c>
      <c r="D4">
        <v>1200</v>
      </c>
      <c r="E4">
        <v>120</v>
      </c>
      <c r="F4">
        <v>15000</v>
      </c>
      <c r="G4">
        <v>0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11</v>
      </c>
      <c r="O4" s="3">
        <v>12</v>
      </c>
      <c r="P4" s="3">
        <v>13</v>
      </c>
      <c r="Q4" s="3">
        <v>14</v>
      </c>
      <c r="R4" s="3">
        <v>7</v>
      </c>
      <c r="S4" s="3">
        <v>8</v>
      </c>
      <c r="T4" s="2"/>
    </row>
    <row r="5" spans="1:20" x14ac:dyDescent="0.4">
      <c r="A5" s="2"/>
      <c r="B5">
        <v>2</v>
      </c>
      <c r="C5" s="5" t="s">
        <v>43</v>
      </c>
      <c r="D5">
        <v>12</v>
      </c>
      <c r="E5">
        <v>560</v>
      </c>
      <c r="F5">
        <v>8000</v>
      </c>
      <c r="G5">
        <v>0</v>
      </c>
      <c r="H5">
        <v>4</v>
      </c>
      <c r="I5">
        <v>50</v>
      </c>
      <c r="J5">
        <v>250</v>
      </c>
      <c r="K5">
        <v>80</v>
      </c>
      <c r="L5">
        <v>1000</v>
      </c>
      <c r="M5">
        <v>1</v>
      </c>
      <c r="N5">
        <v>7</v>
      </c>
      <c r="O5">
        <v>8</v>
      </c>
      <c r="P5">
        <v>9</v>
      </c>
      <c r="Q5">
        <v>10</v>
      </c>
      <c r="R5">
        <v>5</v>
      </c>
      <c r="S5">
        <v>6</v>
      </c>
      <c r="T5" s="2"/>
    </row>
    <row r="6" spans="1:20" x14ac:dyDescent="0.4">
      <c r="A6" s="2"/>
      <c r="B6">
        <v>3</v>
      </c>
      <c r="C6" s="6" t="s">
        <v>42</v>
      </c>
      <c r="D6">
        <v>320</v>
      </c>
      <c r="E6">
        <v>600</v>
      </c>
      <c r="F6">
        <v>15000</v>
      </c>
      <c r="G6">
        <v>100</v>
      </c>
      <c r="H6">
        <v>30</v>
      </c>
      <c r="I6">
        <v>50</v>
      </c>
      <c r="J6">
        <v>120</v>
      </c>
      <c r="K6">
        <v>40</v>
      </c>
      <c r="L6">
        <v>50</v>
      </c>
      <c r="M6">
        <v>1</v>
      </c>
      <c r="N6">
        <v>15</v>
      </c>
      <c r="O6">
        <v>16</v>
      </c>
      <c r="P6">
        <v>17</v>
      </c>
      <c r="Q6">
        <v>18</v>
      </c>
      <c r="R6">
        <v>9</v>
      </c>
      <c r="S6">
        <v>10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420.5</v>
      </c>
      <c r="E7">
        <f>SUBTOTAL(101,テーブル1[弾速])</f>
        <v>445</v>
      </c>
      <c r="F7">
        <f>SUBTOTAL(101,テーブル1[射程距離])</f>
        <v>12500</v>
      </c>
      <c r="G7">
        <f>SUBTOTAL(101,テーブル1[消費EN])</f>
        <v>25</v>
      </c>
      <c r="H7">
        <f>SUBTOTAL(101,テーブル1[装填時間])</f>
        <v>49.75</v>
      </c>
      <c r="I7">
        <f>SUBTOTAL(101,テーブル1[ロック時間])</f>
        <v>57.5</v>
      </c>
      <c r="J7">
        <f>SUBTOTAL(101,テーブル1[射撃安定])</f>
        <v>96.75</v>
      </c>
      <c r="K7">
        <f>SUBTOTAL(101,テーブル1[マガジン再装填時間])</f>
        <v>55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2019-01-20T13:38:04Z</dcterms:modified>
</cp:coreProperties>
</file>