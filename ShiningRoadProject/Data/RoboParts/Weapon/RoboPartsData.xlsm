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K6" i="1" l="1"/>
  <c r="L6" i="1"/>
  <c r="I6" i="1"/>
  <c r="F6" i="1" l="1"/>
  <c r="D6" i="1"/>
  <c r="E6" i="1"/>
  <c r="G6" i="1"/>
  <c r="H6" i="1"/>
  <c r="J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<sst xmlns="http://schemas.openxmlformats.org/spreadsheetml/2006/main" count="50" uniqueCount="45">
  <si>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</si>
  <si>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</si>
  <si>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</si>
  <si>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</si>
  <si>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</si>
  <si>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</si>
  <si>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</si>
  <si>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</si>
  <si>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</si>
  <si>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</si>
  <si>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</si>
  <si>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</si>
  <si>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</si>
  <si>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</si>
  <si>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</si>
  <si>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</si>
  <si>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</si>
  <si>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</si>
  <si>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</si>
  <si>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</si>
  <si>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</si>
  <si>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</si>
  <si>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</si>
  <si>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</si>
  <si>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</si>
  <si>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</si>
  <si>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</si>
  <si>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</si>
  <si>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</si>
  <si>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</si>
  <si>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</si>
  <si>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</si>
  <si>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</si>
  <si>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</si>
  <si>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</si>
  <si>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</si>
  <si>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</si>
  <si>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</si>
  <si>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</si>
  <si>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</si>
  <si>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</si>
  <si>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</si>
  <si>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</si>
  <si>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DAINOBORI BAZOOKA</t>
    <phoneticPr fontId="1"/>
  </si>
  <si>
    <t>DAINOBORI MASINGUN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</si>
</sst>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SUBTOTAL(101,Sheet1!$M$3:$M$5)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41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42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40</v>
      </c>
      <c r="D3">
        <v>150</v>
      </c>
      <c r="E3">
        <v>50</v>
      </c>
      <c r="F3">
        <v>30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0</v>
      </c>
      <c r="O3" s="3">
        <v>1</v>
      </c>
      <c r="P3" s="3">
        <v>2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43</v>
      </c>
      <c r="D4">
        <v>1200</v>
      </c>
      <c r="E4">
        <v>12</v>
      </c>
      <c r="F4">
        <v>360</v>
      </c>
      <c r="G4">
        <v>64</v>
      </c>
      <c r="H4">
        <v>150</v>
      </c>
      <c r="I4">
        <v>100</v>
      </c>
      <c r="J4">
        <v>2</v>
      </c>
      <c r="K4">
        <v>300</v>
      </c>
      <c r="L4">
        <v>5</v>
      </c>
      <c r="M4" s="3">
        <v>1</v>
      </c>
      <c r="N4" s="3">
        <v>0</v>
      </c>
      <c r="O4" s="3">
        <v>1</v>
      </c>
      <c r="P4" s="3">
        <v>2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65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0</v>
      </c>
      <c r="O5">
        <v>1</v>
      </c>
      <c r="P5">
        <v>2</v>
      </c>
      <c r="Q5">
        <v>0</v>
      </c>
      <c r="R5">
        <v>0</v>
      </c>
      <c r="S5">
        <v>1</v>
      </c>
      <c r="T5" s="2"/>
    </row>
    <row r="6" spans="1:20" x14ac:dyDescent="0.4">
      <c r="A6" s="2" t="s">
        <v>21</v>
      </c>
      <c r="B6" t="s">
        <v>10</v>
      </c>
      <c r="D6">
        <f>SUBTOTAL(101,テーブル1[攻撃力])</f>
        <v>454</v>
      </c>
      <c r="E6">
        <f>SUBTOTAL(101,テーブル1[弾速])</f>
        <v>39.333333333333336</v>
      </c>
      <c r="F6">
        <f>SUBTOTAL(101,テーブル1[射程距離])</f>
        <v>151.66666666666666</v>
      </c>
      <c r="G6">
        <f>SUBTOTAL(101,テーブル1[消費EN])</f>
        <v>25.333333333333332</v>
      </c>
      <c r="H6">
        <f>SUBTOTAL(101,テーブル1[装填時間])</f>
        <v>56.333333333333336</v>
      </c>
      <c r="I6">
        <f>SUBTOTAL(101,テーブル1[ロック時間])</f>
        <v>60</v>
      </c>
      <c r="J6">
        <f>SUBTOTAL(101,テーブル1[射撃安定])</f>
        <v>89</v>
      </c>
      <c r="K6">
        <f>SUBTOTAL(101,テーブル1[マガジン再装填時間])</f>
        <v>115.33333333333333</v>
      </c>
      <c r="L6">
        <f>SUBTOTAL(101,テーブル1[装弾数])</f>
        <v>345</v>
      </c>
      <c r="M6">
        <f>SUBTOTAL(101,Sheet1!$M$3:$M$5)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2018-10-11T05:12:39Z</dcterms:modified>
</cp:coreProperties>
</file>