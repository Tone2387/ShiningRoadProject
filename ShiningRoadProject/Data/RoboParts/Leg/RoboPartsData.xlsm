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<sst xmlns="http://schemas.openxmlformats.org/spreadsheetml/2006/main" count="43" uniqueCount="38">
  <si>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</si>
  <si>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</si>
  <si>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</si>
  <si>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</si>
  <si>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</si>
  <si>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</si>
  <si>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</si>
  <si>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</si>
  <si>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</si>
  <si>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</si>
  <si>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</si>
  <si>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</si>
  <si>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</si>
  <si>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</si>
  <si>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</si>
  <si>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</si>
  <si>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</si>
  <si>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</si>
  <si>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</si>
  <si>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</si>
  <si>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</si>
  <si>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</si>
  <si>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</si>
  <si>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</si>
  <si>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</si>
  <si>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</si>
  <si>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</si>
  <si>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</si>
  <si>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</si>
  <si>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</si>
  <si>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</si>
  <si>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</si>
  <si>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</si>
  <si>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</si>
  <si>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</si>
  <si>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</si>
  <si>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DieDarBochiLegs</t>
    <phoneticPr fontId="1"/>
  </si>
  <si>
    <t>Inver　Legs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</si>
</sst>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7" totalsRowCount="1">
  <autoFilter ref="B2:J6"/>
  <tableColumns count="9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30</v>
      </c>
    </row>
    <row r="2" spans="1:11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  <c r="J2" s="5" t="s">
        <v>34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36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B6">
        <v>3</v>
      </c>
      <c r="C6" t="s">
        <v>37</v>
      </c>
      <c r="D6">
        <v>5</v>
      </c>
      <c r="E6">
        <v>30</v>
      </c>
      <c r="F6">
        <v>28</v>
      </c>
      <c r="G6">
        <v>6</v>
      </c>
      <c r="H6">
        <v>155</v>
      </c>
      <c r="I6" s="3">
        <v>1</v>
      </c>
      <c r="J6" s="3">
        <v>5</v>
      </c>
    </row>
    <row r="7" spans="1:11" x14ac:dyDescent="0.4">
      <c r="A7" s="2" t="s">
        <v>22</v>
      </c>
      <c r="B7" t="s">
        <v>10</v>
      </c>
      <c r="D7">
        <f>SUBTOTAL(101,テーブル1[HP])</f>
        <v>12.75</v>
      </c>
      <c r="E7">
        <f>SUBTOTAL(101,テーブル1[歩行速度])</f>
        <v>29.25</v>
      </c>
      <c r="F7">
        <f>SUBTOTAL(101,テーブル1[安定性能])</f>
        <v>23.5</v>
      </c>
      <c r="G7">
        <f>SUBTOTAL(101,テーブル1[旋回性能])</f>
        <v>26.25</v>
      </c>
      <c r="H7">
        <f>SUBTOTAL(101,テーブル1[ジャンプ力])</f>
        <v>76.25</v>
      </c>
      <c r="I7">
        <f>SUBTOTAL(101,Sheet1!$I$3:$I$6)</f>
        <v>1</v>
      </c>
      <c r="J7">
        <f>SUBTOTAL(101,テーブル1[歩行アニメーション速度( double )])</f>
        <v>6.25</v>
      </c>
    </row>
    <row r="10" spans="1:11" x14ac:dyDescent="0.4">
      <c r="J10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2018-12-07T08:53:24Z</dcterms:modified>
</cp:coreProperties>
</file>