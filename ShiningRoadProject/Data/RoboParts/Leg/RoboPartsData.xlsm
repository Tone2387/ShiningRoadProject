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16" i="2" l="1"/>
  <c r="I16" i="2"/>
  <c r="H16" i="2"/>
  <c r="G16" i="2"/>
  <c r="F16" i="2"/>
  <c r="E5" i="1" l="1"/>
  <c r="D5" i="1"/>
  <c r="F5" i="1"/>
  <c r="G5" i="1"/>
  <c r="H5" i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<sst xmlns="http://schemas.openxmlformats.org/spreadsheetml/2006/main" count="41" uniqueCount="36">
  <si>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</si>
  <si>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</si>
  <si>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</si>
  <si>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</si>
  <si>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</si>
  <si>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</si>
  <si>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</si>
  <si>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</si>
  <si>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</si>
  <si>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</si>
  <si>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</si>
  <si>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</si>
  <si>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</si>
  <si>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</si>
  <si>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</si>
  <si>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</si>
  <si>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</si>
  <si>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</si>
  <si>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</si>
  <si>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</si>
  <si>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</si>
  <si>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</si>
  <si>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</si>
  <si>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</si>
  <si>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</si>
  <si>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</si>
  <si>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</si>
  <si>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</si>
  <si>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</si>
  <si>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</si>
  <si>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</si>
  <si>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</si>
  <si>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BlueLeg</t>
    <phoneticPr fontId="1"/>
  </si>
  <si>
    <t>DAINOBORI LEG</t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</si>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</sst>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5" totalsRowCount="1">
  <autoFilter ref="B2:I4"/>
  <tableColumns count="8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30</v>
      </c>
    </row>
    <row r="2" spans="1:11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  <c r="J2" s="5" t="s">
        <v>34</v>
      </c>
    </row>
    <row r="3" spans="1:11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A5" s="2" t="s">
        <v>22</v>
      </c>
      <c r="B5" t="s">
        <v>10</v>
      </c>
      <c r="D5">
        <f>SUBTOTAL(101,テーブル1[HP])</f>
        <v>14</v>
      </c>
      <c r="E5">
        <f>SUBTOTAL(101,テーブル1[歩行速度])</f>
        <v>29</v>
      </c>
      <c r="F5">
        <f>SUBTOTAL(101,テーブル1[安定性能])</f>
        <v>16.5</v>
      </c>
      <c r="G5">
        <f>SUBTOTAL(101,テーブル1[旋回性能])</f>
        <v>34.5</v>
      </c>
      <c r="H5">
        <f>SUBTOTAL(101,テーブル1[ジャンプ力])</f>
        <v>50</v>
      </c>
      <c r="I5">
        <f>SUBTOTAL(101,Sheet1!$I$3:$I$4)</f>
        <v>1</v>
      </c>
    </row>
    <row r="8" spans="1:11" x14ac:dyDescent="0.4">
      <c r="J8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2018-11-02T08:15:34Z</dcterms:modified>
</cp:coreProperties>
</file>