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Leg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E8" i="1" l="1"/>
  <c r="D8" i="1"/>
  <c r="F8" i="1"/>
  <c r="G8" i="1"/>
  <c r="H8" i="1"/>
</calcChain>
</file>

<file path=xl/sharedStrings.xml><?xml version="1.0" encoding="utf-8"?>
<sst xmlns="http://schemas.openxmlformats.org/spreadsheetml/2006/main" count="40" uniqueCount="31">
  <si>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</si>
  <si>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</si>
  <si>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</si>
  <si>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</si>
  <si>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</si>
  <si>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</si>
  <si>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</si>
  <si>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</si>
  <si>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</si>
  <si>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</si>
  <si>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</si>
  <si>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</si>
  <si>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</si>
  <si>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</si>
  <si>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</si>
  <si>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</si>
  <si>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</si>
  <si>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脚パーツ</t>
    <rPh sb="0" eb="1">
      <t>アシ</t>
    </rPh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</si>
  <si>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</si>
  <si>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</si>
  <si>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</si>
  <si>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</si>
  <si>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</si>
  <si>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</si>
  <si>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HP</t>
    <phoneticPr fontId="1"/>
  </si>
  <si>
    <t>歩行速度</t>
    <rPh sb="0" eb="2">
      <t>ホコウ</t>
    </rPh>
    <rPh sb="2" eb="4">
      <t>ソクド</t>
    </rPh>
    <phoneticPr fontId="1"/>
  </si>
  <si>
    <t>安定性能</t>
    <rPh sb="0" eb="2">
      <t>アンテイ</t>
    </rPh>
    <rPh sb="2" eb="4">
      <t>セイノウ</t>
    </rPh>
    <phoneticPr fontId="1"/>
  </si>
  <si>
    <t>旋回性能</t>
    <rPh sb="0" eb="2">
      <t>センカイ</t>
    </rPh>
    <rPh sb="2" eb="4">
      <t>セイノウ</t>
    </rPh>
    <phoneticPr fontId="1"/>
  </si>
  <si>
    <t>ジャンプ力</t>
    <rPh sb="4" eb="5">
      <t>リョク</t>
    </rPh>
    <phoneticPr fontId="1"/>
  </si>
  <si>
    <t>名前(英字のみ)</t>
    <rPh sb="0" eb="2">
      <t>ナマエ</t>
    </rPh>
    <rPh sb="3" eb="5">
      <t>エイジ</t>
    </rPh>
    <phoneticPr fontId="1"/>
  </si>
  <si>
    <t>LEG_N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</si>
</sst>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12</xdr:row>
      <xdr:rowOff>190499</xdr:rowOff>
    </xdr:from>
    <xdr:to>
      <xdr:col>0</xdr:col>
      <xdr:colOff>2050677</xdr:colOff>
      <xdr:row>18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H8" totalsRowCount="1">
  <autoFilter ref="B2:H7"/>
  <tableColumns count="7">
    <tableColumn id="1" name="パーツ番号(モデル名に連結)" totalsRowLabel="平均"/>
    <tableColumn id="12" name="名前(英字のみ)"/>
    <tableColumn id="2" name="HP" totalsRowFunction="average"/>
    <tableColumn id="3" name="歩行速度" totalsRowFunction="average"/>
    <tableColumn id="4" name="安定性能" totalsRowFunction="average"/>
    <tableColumn id="5" name="旋回性能" totalsRowFunction="average"/>
    <tableColumn id="11" name="ジャンプ力" totalsRowFunction="averag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8"/>
  <sheetViews>
    <sheetView tabSelected="1" zoomScale="85" zoomScaleNormal="85" workbookViewId="0">
      <selection activeCell="B8" sqref="B8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625" bestFit="1" customWidth="1"/>
    <col min="5" max="7" width="11.25" bestFit="1" customWidth="1"/>
    <col min="8" max="8" width="13.25" bestFit="1" customWidth="1"/>
    <col min="9" max="9" width="22.75" bestFit="1" customWidth="1"/>
    <col min="10" max="10" width="7.125" customWidth="1"/>
    <col min="11" max="11" width="13" bestFit="1" customWidth="1"/>
    <col min="12" max="12" width="4.25" customWidth="1"/>
    <col min="13" max="13" width="27.625" bestFit="1" customWidth="1"/>
  </cols>
  <sheetData>
    <row r="1" spans="1:9" x14ac:dyDescent="0.4">
      <c r="A1" t="s">
        <v>17</v>
      </c>
    </row>
    <row r="2" spans="1:9" x14ac:dyDescent="0.4">
      <c r="B2" t="s">
        <v>18</v>
      </c>
      <c r="C2" t="s">
        <v>29</v>
      </c>
      <c r="D2" t="s">
        <v>24</v>
      </c>
      <c r="E2" t="s">
        <v>25</v>
      </c>
      <c r="F2" t="s">
        <v>26</v>
      </c>
      <c r="G2" t="s">
        <v>27</v>
      </c>
      <c r="H2" t="s">
        <v>28</v>
      </c>
    </row>
    <row r="3" spans="1:9" x14ac:dyDescent="0.4">
      <c r="A3" s="2" t="s">
        <v>21</v>
      </c>
      <c r="B3">
        <v>0</v>
      </c>
      <c r="C3" t="s">
        <v>6</v>
      </c>
      <c r="D3">
        <v>11</v>
      </c>
      <c r="E3">
        <v>12</v>
      </c>
      <c r="F3">
        <v>13</v>
      </c>
      <c r="G3">
        <v>14</v>
      </c>
      <c r="H3">
        <v>15</v>
      </c>
      <c r="I3" s="2" t="s">
        <v>19</v>
      </c>
    </row>
    <row r="4" spans="1:9" x14ac:dyDescent="0.4">
      <c r="B4">
        <v>1</v>
      </c>
      <c r="C4" t="s">
        <v>7</v>
      </c>
      <c r="D4">
        <v>21</v>
      </c>
      <c r="E4">
        <v>22</v>
      </c>
      <c r="F4">
        <v>23</v>
      </c>
      <c r="G4">
        <v>24</v>
      </c>
      <c r="H4">
        <v>25</v>
      </c>
    </row>
    <row r="5" spans="1:9" x14ac:dyDescent="0.4">
      <c r="B5">
        <v>2</v>
      </c>
      <c r="C5" t="s">
        <v>8</v>
      </c>
      <c r="D5">
        <v>31</v>
      </c>
      <c r="E5">
        <v>32</v>
      </c>
      <c r="F5">
        <v>33</v>
      </c>
      <c r="G5">
        <v>34</v>
      </c>
      <c r="H5">
        <v>35</v>
      </c>
    </row>
    <row r="6" spans="1:9" x14ac:dyDescent="0.4">
      <c r="B6">
        <v>3</v>
      </c>
      <c r="C6" t="s">
        <v>9</v>
      </c>
      <c r="D6">
        <v>41</v>
      </c>
      <c r="E6">
        <v>42</v>
      </c>
      <c r="F6">
        <v>43</v>
      </c>
      <c r="G6">
        <v>44</v>
      </c>
      <c r="H6">
        <v>45</v>
      </c>
    </row>
    <row r="7" spans="1:9" x14ac:dyDescent="0.4">
      <c r="B7">
        <v>4</v>
      </c>
      <c r="C7" t="s">
        <v>30</v>
      </c>
      <c r="D7">
        <v>51</v>
      </c>
      <c r="E7">
        <v>52</v>
      </c>
      <c r="F7">
        <v>53</v>
      </c>
      <c r="G7">
        <v>54</v>
      </c>
      <c r="H7">
        <v>55</v>
      </c>
    </row>
    <row r="8" spans="1:9" x14ac:dyDescent="0.4">
      <c r="A8" s="2" t="s">
        <v>22</v>
      </c>
      <c r="B8" t="s">
        <v>10</v>
      </c>
      <c r="D8">
        <f>SUBTOTAL(101,テーブル1[HP])</f>
        <v>31</v>
      </c>
      <c r="E8">
        <f>SUBTOTAL(101,テーブル1[歩行速度])</f>
        <v>32</v>
      </c>
      <c r="F8">
        <f>SUBTOTAL(101,テーブル1[安定性能])</f>
        <v>33</v>
      </c>
      <c r="G8">
        <f>SUBTOTAL(101,テーブル1[旋回性能])</f>
        <v>34</v>
      </c>
      <c r="H8">
        <f>SUBTOTAL(101,テーブル1[ジャンプ力])</f>
        <v>35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1" sqref="C11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20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23</v>
      </c>
    </row>
    <row r="11" spans="1:11" x14ac:dyDescent="0.4">
      <c r="D11" t="s">
        <v>18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20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22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2018-06-13T03:29:07Z</dcterms:modified>
</cp:coreProperties>
</file>