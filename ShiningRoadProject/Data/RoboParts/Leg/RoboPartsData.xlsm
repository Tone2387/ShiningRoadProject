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J16" i="2" l="1"/>
  <c r="I16" i="2"/>
  <c r="H16" i="2"/>
  <c r="G16" i="2"/>
  <c r="F16" i="2"/>
  <c r="E8" i="1" l="1"/>
  <c r="D8" i="1"/>
  <c r="F8" i="1"/>
  <c r="G8" i="1"/>
  <c r="H8" i="1"/>
</calcChain>
</file>

<file path=xl/sharedStrings.xml><?xml version="1.0" encoding="utf-8"?>
<sst xmlns="http://schemas.openxmlformats.org/spreadsheetml/2006/main" count="42" uniqueCount="33">
  <si>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</si>
  <si>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</si>
  <si>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</si>
  <si>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</si>
  <si>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</si>
  <si>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</si>
  <si>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</si>
  <si>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</si>
  <si>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</si>
  <si>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</si>
  <si>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</si>
  <si>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</si>
  <si>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</si>
  <si>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</si>
  <si>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</si>
  <si>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</si>
  <si>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</si>
  <si>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</si>
  <si>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</si>
  <si>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</si>
  <si>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</si>
  <si>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</si>
  <si>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</si>
  <si>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</si>
  <si>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</si>
  <si>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</si>
  <si>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</si>
  <si>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</si>
  <si>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</si>
  <si>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</si>
  <si>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LEG_N</t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</si>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</sst>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8" totalsRowCount="1">
  <autoFilter ref="B2:H7"/>
  <tableColumns count="7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I2:I8" totalsRowCount="1">
  <autoFilter ref="I2:I7"/>
  <tableColumns count="1">
    <tableColumn id="1" name="当たり判定サイズ" totalsRowFunction="averag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"/>
  <sheetViews>
    <sheetView tabSelected="1" zoomScale="85" zoomScaleNormal="85" workbookViewId="0">
      <selection activeCell="B8" sqref="B8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17</v>
      </c>
      <c r="I1" t="s">
        <v>31</v>
      </c>
    </row>
    <row r="2" spans="1:10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t="s">
        <v>32</v>
      </c>
    </row>
    <row r="3" spans="1:10" x14ac:dyDescent="0.4">
      <c r="A3" s="2" t="s">
        <v>21</v>
      </c>
      <c r="B3">
        <v>0</v>
      </c>
      <c r="C3" t="s">
        <v>6</v>
      </c>
      <c r="D3">
        <v>11</v>
      </c>
      <c r="E3">
        <v>12</v>
      </c>
      <c r="F3">
        <v>13</v>
      </c>
      <c r="G3">
        <v>14</v>
      </c>
      <c r="H3">
        <v>15</v>
      </c>
      <c r="I3">
        <v>1</v>
      </c>
      <c r="J3" s="2" t="s">
        <v>19</v>
      </c>
    </row>
    <row r="4" spans="1:10" x14ac:dyDescent="0.4">
      <c r="B4">
        <v>1</v>
      </c>
      <c r="C4" t="s">
        <v>7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</row>
    <row r="5" spans="1:10" x14ac:dyDescent="0.4">
      <c r="B5">
        <v>2</v>
      </c>
      <c r="C5" t="s">
        <v>8</v>
      </c>
      <c r="D5">
        <v>31</v>
      </c>
      <c r="E5">
        <v>32</v>
      </c>
      <c r="F5">
        <v>33</v>
      </c>
      <c r="G5">
        <v>34</v>
      </c>
      <c r="H5">
        <v>35</v>
      </c>
      <c r="I5">
        <v>1</v>
      </c>
    </row>
    <row r="6" spans="1:10" x14ac:dyDescent="0.4">
      <c r="B6">
        <v>3</v>
      </c>
      <c r="C6" t="s">
        <v>9</v>
      </c>
      <c r="D6">
        <v>41</v>
      </c>
      <c r="E6">
        <v>42</v>
      </c>
      <c r="F6">
        <v>43</v>
      </c>
      <c r="G6">
        <v>44</v>
      </c>
      <c r="H6">
        <v>45</v>
      </c>
      <c r="I6">
        <v>1</v>
      </c>
    </row>
    <row r="7" spans="1:10" x14ac:dyDescent="0.4">
      <c r="B7">
        <v>4</v>
      </c>
      <c r="C7" t="s">
        <v>30</v>
      </c>
      <c r="D7">
        <v>51</v>
      </c>
      <c r="E7">
        <v>52</v>
      </c>
      <c r="F7">
        <v>53</v>
      </c>
      <c r="G7">
        <v>54</v>
      </c>
      <c r="H7">
        <v>55</v>
      </c>
      <c r="I7">
        <v>1</v>
      </c>
    </row>
    <row r="8" spans="1:10" x14ac:dyDescent="0.4">
      <c r="A8" s="2" t="s">
        <v>22</v>
      </c>
      <c r="B8" t="s">
        <v>10</v>
      </c>
      <c r="D8">
        <f>SUBTOTAL(101,テーブル1[HP])</f>
        <v>31</v>
      </c>
      <c r="E8">
        <f>SUBTOTAL(101,テーブル1[歩行速度])</f>
        <v>32</v>
      </c>
      <c r="F8">
        <f>SUBTOTAL(101,テーブル1[安定性能])</f>
        <v>33</v>
      </c>
      <c r="G8">
        <f>SUBTOTAL(101,テーブル1[旋回性能])</f>
        <v>34</v>
      </c>
      <c r="H8">
        <f>SUBTOTAL(101,テーブル1[ジャンプ力])</f>
        <v>35</v>
      </c>
      <c r="I8">
        <f>SUBTOTAL(101,テーブル3[当たり判定サイズ])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2018-07-02T06:17:11Z</dcterms:modified>
</cp:coreProperties>
</file>