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16" i="2" l="1"/>
  <c r="I16" i="2"/>
  <c r="H16" i="2"/>
  <c r="G16" i="2"/>
  <c r="F16" i="2"/>
  <c r="E5" i="1" l="1"/>
  <c r="D5" i="1"/>
  <c r="F5" i="1"/>
  <c r="G5" i="1"/>
  <c r="H5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<sst xmlns="http://schemas.openxmlformats.org/spreadsheetml/2006/main" count="39" uniqueCount="34">
  <si>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</si>
  <si>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</si>
  <si>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</si>
  <si>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</si>
  <si>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</si>
  <si>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</si>
  <si>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</si>
  <si>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</si>
  <si>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</si>
  <si>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</si>
  <si>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</si>
  <si>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</si>
  <si>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</si>
  <si>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</si>
  <si>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</si>
  <si>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</si>
  <si>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</si>
  <si>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</si>
  <si>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</si>
  <si>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</si>
  <si>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</si>
  <si>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</si>
  <si>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</si>
  <si>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</si>
  <si>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</si>
  <si>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</si>
  <si>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</si>
  <si>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</si>
  <si>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</si>
  <si>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</si>
  <si>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</si>
  <si>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</si>
  <si>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RedLeg</t>
    <phoneticPr fontId="1"/>
  </si>
  <si>
    <t>BlueLeg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</si>
</sst>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5" totalsRowCount="1">
  <autoFilter ref="B2:I4"/>
  <tableColumns count="8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17</v>
      </c>
      <c r="I1" t="s">
        <v>30</v>
      </c>
    </row>
    <row r="2" spans="1:10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</row>
    <row r="3" spans="1:10" x14ac:dyDescent="0.4">
      <c r="A3" s="2" t="s">
        <v>21</v>
      </c>
      <c r="B3">
        <v>0</v>
      </c>
      <c r="C3" t="s">
        <v>32</v>
      </c>
      <c r="D3">
        <v>11</v>
      </c>
      <c r="E3">
        <v>12</v>
      </c>
      <c r="F3">
        <v>13</v>
      </c>
      <c r="G3">
        <v>14</v>
      </c>
      <c r="H3">
        <v>15</v>
      </c>
      <c r="I3" s="3">
        <v>1</v>
      </c>
      <c r="J3" s="2" t="s">
        <v>19</v>
      </c>
    </row>
    <row r="4" spans="1:10" x14ac:dyDescent="0.4">
      <c r="B4">
        <v>1</v>
      </c>
      <c r="C4" t="s">
        <v>33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</row>
    <row r="5" spans="1:10" x14ac:dyDescent="0.4">
      <c r="A5" s="2" t="s">
        <v>22</v>
      </c>
      <c r="B5" t="s">
        <v>10</v>
      </c>
      <c r="D5">
        <f>SUBTOTAL(101,テーブル1[HP])</f>
        <v>16</v>
      </c>
      <c r="E5">
        <f>SUBTOTAL(101,テーブル1[歩行速度])</f>
        <v>17</v>
      </c>
      <c r="F5">
        <f>SUBTOTAL(101,テーブル1[安定性能])</f>
        <v>18</v>
      </c>
      <c r="G5">
        <f>SUBTOTAL(101,テーブル1[旋回性能])</f>
        <v>19</v>
      </c>
      <c r="H5">
        <f>SUBTOTAL(101,テーブル1[ジャンプ力])</f>
        <v>20</v>
      </c>
      <c r="I5">
        <f>SUBTOTAL(101,Sheet1!$I$3:$I$4)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2018-07-12T05:06:01Z</dcterms:modified>
</cp:coreProperties>
</file>