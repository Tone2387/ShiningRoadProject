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I6" i="1"/>
  <c r="J16" i="2" l="1"/>
  <c r="I16" i="2"/>
  <c r="H16" i="2"/>
  <c r="G16" i="2"/>
  <c r="F16" i="2"/>
  <c r="E6" i="1" l="1"/>
  <c r="D6" i="1"/>
  <c r="F6" i="1"/>
  <c r="G6" i="1"/>
  <c r="H6" i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<sst xmlns="http://schemas.openxmlformats.org/spreadsheetml/2006/main" count="42" uniqueCount="37">
  <si>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</si>
  <si>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</si>
  <si>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</si>
  <si>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</si>
  <si>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</si>
  <si>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</si>
  <si>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</si>
  <si>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</si>
  <si>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</si>
  <si>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</si>
  <si>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</si>
  <si>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</si>
  <si>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</si>
  <si>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</si>
  <si>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</si>
  <si>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</si>
  <si>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</si>
  <si>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</si>
  <si>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</si>
  <si>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</si>
  <si>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</si>
  <si>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</si>
  <si>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</si>
  <si>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</si>
  <si>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</si>
  <si>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</si>
  <si>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</si>
  <si>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</si>
  <si>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</si>
  <si>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</si>
  <si>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</si>
  <si>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</si>
  <si>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</si>
  <si>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</si>
  <si>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</si>
  <si>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</si>
  <si>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DieDarBochiLegs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</si>
</sst>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6" totalsRowCount="1">
  <autoFilter ref="B2:J5"/>
  <tableColumns count="9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SUBTOTAL(101,Sheet1!$I$3:$I$5)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30</v>
      </c>
    </row>
    <row r="2" spans="1:11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  <c r="J2" s="5" t="s">
        <v>34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36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A6" s="2" t="s">
        <v>22</v>
      </c>
      <c r="B6" t="s">
        <v>10</v>
      </c>
      <c r="D6">
        <f>SUBTOTAL(101,テーブル1[HP])</f>
        <v>15.333333333333334</v>
      </c>
      <c r="E6">
        <f>SUBTOTAL(101,テーブル1[歩行速度])</f>
        <v>29</v>
      </c>
      <c r="F6">
        <f>SUBTOTAL(101,テーブル1[安定性能])</f>
        <v>22</v>
      </c>
      <c r="G6">
        <f>SUBTOTAL(101,テーブル1[旋回性能])</f>
        <v>33</v>
      </c>
      <c r="H6">
        <f>SUBTOTAL(101,テーブル1[ジャンプ力])</f>
        <v>50</v>
      </c>
      <c r="I6">
        <f>SUBTOTAL(101,Sheet1!$I$3:$I$5)</f>
        <v>1</v>
      </c>
      <c r="J6">
        <f>SUBTOTAL(101,テーブル1[歩行アニメーション速度( double )])</f>
        <v>6.666666666666667</v>
      </c>
    </row>
    <row r="9" spans="1:11" x14ac:dyDescent="0.4">
      <c r="J9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2018-11-07T06:52:07Z</dcterms:modified>
</cp:coreProperties>
</file>