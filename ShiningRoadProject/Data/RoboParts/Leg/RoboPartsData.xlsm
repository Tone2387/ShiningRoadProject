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J7" i="1" l="1"/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<sst xmlns="http://schemas.openxmlformats.org/spreadsheetml/2006/main" count="43" uniqueCount="38">
  <si>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</si>
  <si>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</si>
  <si>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</si>
  <si>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</si>
  <si>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</si>
  <si>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</si>
  <si>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</si>
  <si>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</si>
  <si>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</si>
  <si>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</si>
  <si>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</si>
  <si>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</si>
  <si>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</si>
  <si>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</si>
  <si>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</si>
  <si>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</si>
  <si>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</si>
  <si>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</si>
  <si>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</si>
  <si>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</si>
  <si>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</si>
  <si>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</si>
  <si>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</si>
  <si>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</si>
  <si>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</si>
  <si>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</si>
  <si>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</si>
  <si>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</si>
  <si>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</si>
  <si>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</si>
  <si>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</si>
  <si>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</si>
  <si>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</si>
  <si>
    <t>GRIFOLON LG01</t>
    <phoneticPr fontId="1"/>
  </si>
  <si>
    <t>GRIFOLON LG02</t>
    <phoneticPr fontId="1"/>
  </si>
  <si>
    <t>AP</t>
    <phoneticPr fontId="1"/>
  </si>
  <si>
    <t>GRIFOLON LG03</t>
    <phoneticPr fontId="1"/>
  </si>
  <si>
    <t>RL-01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</si>
</sst>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J7" totalsRowCount="1">
  <autoFilter ref="B2:J6"/>
  <tableColumns count="9">
    <tableColumn id="1" name="パーツ番号(モデル名に連結)" totalsRowLabel="平均"/>
    <tableColumn id="12" name="名前(英字のみ)"/>
    <tableColumn id="2" name="A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SUBTOTAL(101,Sheet1!$I$3:$I$6)</totalsRowFormula>
    </tableColumn>
    <tableColumn id="7" name="歩行アニメーション速度( double 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9.25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29</v>
      </c>
    </row>
    <row r="2" spans="1:11" x14ac:dyDescent="0.4">
      <c r="B2" t="s">
        <v>18</v>
      </c>
      <c r="C2" t="s">
        <v>28</v>
      </c>
      <c r="D2" t="s">
        <v>35</v>
      </c>
      <c r="E2" t="s">
        <v>24</v>
      </c>
      <c r="F2" t="s">
        <v>25</v>
      </c>
      <c r="G2" t="s">
        <v>26</v>
      </c>
      <c r="H2" t="s">
        <v>27</v>
      </c>
      <c r="I2" s="4" t="s">
        <v>30</v>
      </c>
      <c r="J2" s="5" t="s">
        <v>31</v>
      </c>
    </row>
    <row r="3" spans="1:11" x14ac:dyDescent="0.4">
      <c r="A3" s="2" t="s">
        <v>21</v>
      </c>
      <c r="B3">
        <v>0</v>
      </c>
      <c r="C3" t="s">
        <v>33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34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  <c r="J4">
        <v>5</v>
      </c>
    </row>
    <row r="5" spans="1:11" x14ac:dyDescent="0.4">
      <c r="B5">
        <v>2</v>
      </c>
      <c r="C5" t="s">
        <v>36</v>
      </c>
      <c r="D5">
        <v>18</v>
      </c>
      <c r="E5">
        <v>29</v>
      </c>
      <c r="F5">
        <v>33</v>
      </c>
      <c r="G5">
        <v>30</v>
      </c>
      <c r="H5">
        <v>50</v>
      </c>
      <c r="I5" s="3">
        <v>1</v>
      </c>
      <c r="J5" s="3">
        <v>5</v>
      </c>
    </row>
    <row r="6" spans="1:11" x14ac:dyDescent="0.4">
      <c r="B6">
        <v>3</v>
      </c>
      <c r="C6" t="s">
        <v>37</v>
      </c>
      <c r="D6">
        <v>5</v>
      </c>
      <c r="E6">
        <v>30</v>
      </c>
      <c r="F6">
        <v>28</v>
      </c>
      <c r="G6">
        <v>6</v>
      </c>
      <c r="H6">
        <v>155</v>
      </c>
      <c r="I6" s="3">
        <v>1</v>
      </c>
      <c r="J6" s="3">
        <v>5</v>
      </c>
    </row>
    <row r="7" spans="1:11" x14ac:dyDescent="0.4">
      <c r="A7" s="2" t="s">
        <v>22</v>
      </c>
      <c r="B7" t="s">
        <v>10</v>
      </c>
      <c r="D7">
        <f>SUBTOTAL(101,テーブル1[AP])</f>
        <v>12.75</v>
      </c>
      <c r="E7">
        <f>SUBTOTAL(101,テーブル1[歩行速度])</f>
        <v>29.25</v>
      </c>
      <c r="F7">
        <f>SUBTOTAL(101,テーブル1[安定性能])</f>
        <v>23.5</v>
      </c>
      <c r="G7">
        <f>SUBTOTAL(101,テーブル1[旋回性能])</f>
        <v>26.25</v>
      </c>
      <c r="H7">
        <f>SUBTOTAL(101,テーブル1[ジャンプ力])</f>
        <v>76.25</v>
      </c>
      <c r="I7">
        <f>SUBTOTAL(101,Sheet1!$I$3:$I$6)</f>
        <v>1</v>
      </c>
      <c r="J7">
        <f>SUBTOTAL(101,テーブル1[歩行アニメーション速度( double )])</f>
        <v>6.25</v>
      </c>
    </row>
    <row r="10" spans="1:11" x14ac:dyDescent="0.4">
      <c r="J10" t="s">
        <v>32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2018-12-22T02:54:13Z</dcterms:modified>
</cp:coreProperties>
</file>