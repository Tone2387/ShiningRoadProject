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J16" i="2" l="1"/>
  <c r="I16" i="2"/>
  <c r="H16" i="2"/>
  <c r="G16" i="2"/>
  <c r="F16" i="2"/>
  <c r="E5" i="1" l="1"/>
  <c r="D5" i="1"/>
</calcChain>
</file>

<file path=xl/sharedStrings.xml><?xml version="1.0" encoding="utf-8"?>
<sst xmlns="http://schemas.openxmlformats.org/spreadsheetml/2006/main" count="39" uniqueCount="34">
  <si>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</si>
  <si>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</si>
  <si>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</si>
  <si>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</si>
  <si>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</si>
  <si>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</si>
  <si>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</si>
  <si>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</si>
  <si>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</si>
  <si>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</si>
  <si>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</si>
  <si>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</si>
  <si>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</si>
  <si>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</si>
  <si>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</si>
  <si>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</si>
  <si>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</si>
  <si>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</si>
  <si>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</si>
  <si>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</si>
  <si>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</si>
  <si>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</si>
  <si>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</si>
  <si>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</si>
  <si>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HP</t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</si>
  <si>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</si>
  <si>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</si>
  <si>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</si>
  <si>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</si>
  <si>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BlueArms</t>
    <phoneticPr fontId="1"/>
  </si>
  <si>
    <t>DAINOBORI ARMS</t>
    <phoneticPr fontId="1"/>
  </si>
  <si>
    <t>クイック推力.</t>
  </si>
  <si>
    <t>クイック消費</t>
    <phoneticPr fontId="1"/>
  </si>
  <si>
    <t>クイック噴射時間.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</si>
</sst>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5" totalsRowCount="1">
  <autoFilter ref="B2:I4"/>
  <tableColumns count="8">
    <tableColumn id="1" name="パーツ番号(モデル名に連結)" totalsRowLabel="平均"/>
    <tableColumn id="12" name="名前(英字のみ)"/>
    <tableColumn id="2" name="HP" totalsRowFunction="average"/>
    <tableColumn id="3" name="照準精度" totalsRowFunction="average"/>
    <tableColumn id="7" name="クイック推力."/>
    <tableColumn id="6" name="クイック消費"/>
    <tableColumn id="5" name="クイック噴射時間."/>
    <tableColumn id="4" name="当たり判定サイズ" totalsRowFunction="custom">
      <totalsRowFormula>SUBTOTAL(101,Sheet1!$I$4:$I$4)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2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5" width="11.25" bestFit="1" customWidth="1"/>
    <col min="6" max="6" width="15.875" bestFit="1" customWidth="1"/>
    <col min="7" max="7" width="15.25" bestFit="1" customWidth="1"/>
    <col min="8" max="8" width="20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26</v>
      </c>
      <c r="I1" t="s">
        <v>28</v>
      </c>
    </row>
    <row r="2" spans="1:10" x14ac:dyDescent="0.4">
      <c r="B2" t="s">
        <v>17</v>
      </c>
      <c r="C2" t="s">
        <v>23</v>
      </c>
      <c r="D2" t="s">
        <v>24</v>
      </c>
      <c r="E2" t="s">
        <v>25</v>
      </c>
      <c r="F2" t="s">
        <v>31</v>
      </c>
      <c r="G2" t="s">
        <v>32</v>
      </c>
      <c r="H2" t="s">
        <v>33</v>
      </c>
      <c r="I2" s="3" t="s">
        <v>27</v>
      </c>
    </row>
    <row r="3" spans="1:10" x14ac:dyDescent="0.4">
      <c r="A3" s="2" t="s">
        <v>20</v>
      </c>
      <c r="B3">
        <v>0</v>
      </c>
      <c r="C3" t="s">
        <v>30</v>
      </c>
      <c r="D3">
        <v>15</v>
      </c>
      <c r="E3">
        <v>55</v>
      </c>
      <c r="F3">
        <v>65</v>
      </c>
      <c r="G3">
        <v>75</v>
      </c>
      <c r="H3">
        <v>85</v>
      </c>
      <c r="I3">
        <v>1</v>
      </c>
      <c r="J3" s="2" t="s">
        <v>18</v>
      </c>
    </row>
    <row r="4" spans="1:10" x14ac:dyDescent="0.4">
      <c r="B4">
        <v>1</v>
      </c>
      <c r="C4" t="s">
        <v>29</v>
      </c>
      <c r="D4">
        <v>11</v>
      </c>
      <c r="E4">
        <v>12</v>
      </c>
      <c r="F4">
        <v>45</v>
      </c>
      <c r="G4">
        <v>14</v>
      </c>
      <c r="H4">
        <v>13</v>
      </c>
      <c r="I4" s="4">
        <v>1</v>
      </c>
    </row>
    <row r="5" spans="1:10" x14ac:dyDescent="0.4">
      <c r="A5" s="2" t="s">
        <v>21</v>
      </c>
      <c r="B5" t="s">
        <v>10</v>
      </c>
      <c r="D5">
        <f>SUBTOTAL(101,テーブル1[HP])</f>
        <v>13</v>
      </c>
      <c r="E5">
        <f>SUBTOTAL(101,テーブル1[照準精度])</f>
        <v>33.5</v>
      </c>
      <c r="I5">
        <f>SUBTOTAL(101,Sheet1!$I$4:$I$4)</f>
        <v>1</v>
      </c>
    </row>
    <row r="11" spans="1:10" x14ac:dyDescent="0.4">
      <c r="C11" s="6"/>
    </row>
    <row r="12" spans="1:10" x14ac:dyDescent="0.4">
      <c r="C12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2018-10-11T05:12:24Z</dcterms:modified>
</cp:coreProperties>
</file>