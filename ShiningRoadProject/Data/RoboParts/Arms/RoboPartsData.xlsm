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RoboParts\Arms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J16" i="2" l="1"/>
  <c r="I16" i="2"/>
  <c r="H16" i="2"/>
  <c r="G16" i="2"/>
  <c r="F16" i="2"/>
  <c r="E6" i="1" l="1"/>
  <c r="D6" i="1"/>
</calcChain>
</file>

<file path=xl/sharedStrings.xml><?xml version="1.0" encoding="utf-8"?>
<sst xmlns="http://schemas.openxmlformats.org/spreadsheetml/2006/main" count="40" uniqueCount="35">
  <si>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</si>
  <si>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</si>
  <si>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</si>
  <si>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</si>
  <si>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</si>
  <si>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</si>
  <si>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</si>
  <si>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</si>
  <si>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</si>
  <si>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</si>
  <si>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</si>
  <si>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</si>
  <si>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</si>
  <si>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</si>
  <si>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</si>
  <si>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</si>
  <si>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</si>
  <si>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</si>
  <si>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</si>
  <si>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</si>
  <si>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</si>
  <si>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</si>
  <si>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</si>
  <si>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名前(英字のみ)</t>
    <rPh sb="0" eb="2">
      <t>ナマエ</t>
    </rPh>
    <rPh sb="3" eb="5">
      <t>エイジ</t>
    </rPh>
    <phoneticPr fontId="1"/>
  </si>
  <si>
    <t>照準精度</t>
    <rPh sb="0" eb="2">
      <t>ショウジュン</t>
    </rPh>
    <rPh sb="2" eb="4">
      <t>セイド</t>
    </rPh>
    <phoneticPr fontId="1"/>
  </si>
  <si>
    <t>腕パーツ</t>
    <rPh sb="0" eb="1">
      <t>ウデ</t>
    </rPh>
    <phoneticPr fontId="1"/>
  </si>
  <si>
    <t>当たり判定サイズ</t>
    <rPh sb="0" eb="1">
      <t>ア</t>
    </rPh>
    <rPh sb="3" eb="5">
      <t>ハンテイ</t>
    </rPh>
    <phoneticPr fontId="1"/>
  </si>
  <si>
    <t>ここから隠しステータス</t>
    <rPh sb="4" eb="5">
      <t>カク</t>
    </rPh>
    <phoneticPr fontId="1"/>
  </si>
  <si>
    <t>クイック推力.</t>
  </si>
  <si>
    <t>クイック消費</t>
    <phoneticPr fontId="1"/>
  </si>
  <si>
    <t>クイック噴射時間.</t>
  </si>
  <si>
    <t>AM15-VIRGIOS</t>
    <phoneticPr fontId="1"/>
  </si>
  <si>
    <t>AM-04-31 DICTYON</t>
    <phoneticPr fontId="1"/>
  </si>
  <si>
    <t>AP</t>
    <phoneticPr fontId="1"/>
  </si>
  <si>
    <t>AM5-VIRGIOS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</si>
</sst>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2" xfId="0" applyFont="1" applyFill="1" applyBorder="1">
      <alignment vertical="center"/>
    </xf>
    <xf numFmtId="0" fontId="0" fillId="0" borderId="2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6" totalsRowCount="1">
  <autoFilter ref="B2:I5"/>
  <tableColumns count="8">
    <tableColumn id="1" name="パーツ番号(モデル名に連結)" totalsRowLabel="平均"/>
    <tableColumn id="12" name="名前(英字のみ)"/>
    <tableColumn id="2" name="AP" totalsRowFunction="average"/>
    <tableColumn id="3" name="照準精度" totalsRowFunction="average"/>
    <tableColumn id="7" name="クイック推力."/>
    <tableColumn id="6" name="クイック消費"/>
    <tableColumn id="5" name="クイック噴射時間."/>
    <tableColumn id="4" name="当たり判定サイズ" totalsRowFunction="custom">
      <totalsRowFormula>SUBTOTAL(101,Sheet1!$I$4:$I$4)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0" bestFit="1" customWidth="1"/>
    <col min="4" max="4" width="6.625" bestFit="1" customWidth="1"/>
    <col min="5" max="5" width="11.25" bestFit="1" customWidth="1"/>
    <col min="6" max="6" width="15.875" bestFit="1" customWidth="1"/>
    <col min="7" max="7" width="15.25" bestFit="1" customWidth="1"/>
    <col min="8" max="8" width="20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25</v>
      </c>
      <c r="I1" t="s">
        <v>27</v>
      </c>
    </row>
    <row r="2" spans="1:10" x14ac:dyDescent="0.4">
      <c r="B2" t="s">
        <v>17</v>
      </c>
      <c r="C2" t="s">
        <v>23</v>
      </c>
      <c r="D2" t="s">
        <v>33</v>
      </c>
      <c r="E2" t="s">
        <v>24</v>
      </c>
      <c r="F2" t="s">
        <v>28</v>
      </c>
      <c r="G2" t="s">
        <v>29</v>
      </c>
      <c r="H2" t="s">
        <v>30</v>
      </c>
      <c r="I2" s="3" t="s">
        <v>26</v>
      </c>
    </row>
    <row r="3" spans="1:10" x14ac:dyDescent="0.4">
      <c r="A3" s="2" t="s">
        <v>20</v>
      </c>
      <c r="B3">
        <v>0</v>
      </c>
      <c r="C3" t="s">
        <v>32</v>
      </c>
      <c r="D3">
        <v>15</v>
      </c>
      <c r="E3">
        <v>55</v>
      </c>
      <c r="F3">
        <v>65</v>
      </c>
      <c r="G3">
        <v>14</v>
      </c>
      <c r="H3">
        <v>60</v>
      </c>
      <c r="I3">
        <v>1</v>
      </c>
      <c r="J3" s="2" t="s">
        <v>18</v>
      </c>
    </row>
    <row r="4" spans="1:10" x14ac:dyDescent="0.4">
      <c r="B4">
        <v>1</v>
      </c>
      <c r="C4" t="s">
        <v>34</v>
      </c>
      <c r="D4">
        <v>33</v>
      </c>
      <c r="E4">
        <v>12</v>
      </c>
      <c r="F4">
        <v>45</v>
      </c>
      <c r="G4">
        <v>32</v>
      </c>
      <c r="H4">
        <v>13</v>
      </c>
      <c r="I4" s="4">
        <v>2</v>
      </c>
    </row>
    <row r="5" spans="1:10" x14ac:dyDescent="0.4">
      <c r="B5">
        <v>2</v>
      </c>
      <c r="C5" t="s">
        <v>31</v>
      </c>
      <c r="D5">
        <v>58</v>
      </c>
      <c r="E5">
        <v>64</v>
      </c>
      <c r="F5">
        <v>103</v>
      </c>
      <c r="G5">
        <v>64</v>
      </c>
      <c r="H5">
        <v>32</v>
      </c>
      <c r="I5" s="4">
        <v>3</v>
      </c>
    </row>
    <row r="6" spans="1:10" x14ac:dyDescent="0.4">
      <c r="A6" s="2" t="s">
        <v>21</v>
      </c>
      <c r="B6" t="s">
        <v>10</v>
      </c>
      <c r="D6">
        <f>SUBTOTAL(101,テーブル1[AP])</f>
        <v>35.333333333333336</v>
      </c>
      <c r="E6">
        <f>SUBTOTAL(101,テーブル1[照準精度])</f>
        <v>43.666666666666664</v>
      </c>
      <c r="I6">
        <f>SUBTOTAL(101,Sheet1!$I$4:$I$4)</f>
        <v>2</v>
      </c>
    </row>
    <row r="12" spans="1:10" x14ac:dyDescent="0.4">
      <c r="C12" s="6"/>
    </row>
    <row r="13" spans="1:10" x14ac:dyDescent="0.4">
      <c r="C13" s="5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2018-12-22T05:39:16Z</dcterms:modified>
</cp:coreProperties>
</file>