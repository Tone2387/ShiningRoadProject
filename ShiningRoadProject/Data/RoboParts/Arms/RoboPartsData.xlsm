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<sst xmlns="http://schemas.openxmlformats.org/spreadsheetml/2006/main" count="37" uniqueCount="32">
  <si>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</si>
  <si>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</si>
  <si>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</si>
  <si>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</si>
  <si>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</si>
  <si>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</si>
  <si>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</si>
  <si>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</si>
  <si>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</si>
  <si>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</si>
  <si>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</si>
  <si>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</si>
  <si>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</si>
  <si>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</si>
  <si>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</si>
  <si>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</si>
  <si>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</si>
  <si>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</si>
  <si>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</si>
  <si>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</si>
  <si>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</si>
  <si>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</si>
  <si>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</si>
  <si>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</si>
  <si>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</si>
  <si>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</si>
  <si>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</si>
  <si>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</si>
  <si>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</si>
  <si>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RedArms</t>
    <phoneticPr fontId="1"/>
  </si>
  <si>
    <t>BlueArms</t>
    <phoneticPr fontId="1"/>
  </si>
  <si>
    <t>DAINOBORI ARMS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</si>
</sst>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6" totalsRowCount="1">
  <autoFilter ref="B2:F5"/>
  <tableColumns count="5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4" name="当たり判定サイズ" totalsRowFunction="custom">
      <totalsRowFormula>SUBTOTAL(101,Sheet1!$F$4:$F$5)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28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27</v>
      </c>
    </row>
    <row r="3" spans="1:7" x14ac:dyDescent="0.4">
      <c r="A3" s="2" t="s">
        <v>20</v>
      </c>
      <c r="B3">
        <v>0</v>
      </c>
      <c r="C3" t="s">
        <v>31</v>
      </c>
      <c r="D3">
        <v>15</v>
      </c>
      <c r="E3">
        <v>55</v>
      </c>
      <c r="F3">
        <v>1</v>
      </c>
      <c r="G3" s="2" t="s">
        <v>18</v>
      </c>
    </row>
    <row r="4" spans="1:7" x14ac:dyDescent="0.4">
      <c r="B4">
        <v>1</v>
      </c>
      <c r="C4" t="s">
        <v>30</v>
      </c>
      <c r="D4">
        <v>11</v>
      </c>
      <c r="E4">
        <v>12</v>
      </c>
      <c r="F4" s="4">
        <v>1</v>
      </c>
    </row>
    <row r="5" spans="1:7" x14ac:dyDescent="0.4">
      <c r="B5">
        <v>2</v>
      </c>
      <c r="C5" t="s">
        <v>29</v>
      </c>
      <c r="D5">
        <v>21</v>
      </c>
      <c r="E5">
        <v>22</v>
      </c>
      <c r="F5">
        <v>1</v>
      </c>
    </row>
    <row r="6" spans="1:7" x14ac:dyDescent="0.4">
      <c r="A6" s="2" t="s">
        <v>21</v>
      </c>
      <c r="B6" t="s">
        <v>10</v>
      </c>
      <c r="D6">
        <f>SUBTOTAL(101,テーブル1[HP])</f>
        <v>15.666666666666666</v>
      </c>
      <c r="E6">
        <f>SUBTOTAL(101,テーブル1[照準精度])</f>
        <v>29.666666666666668</v>
      </c>
      <c r="F6">
        <f>SUBTOTAL(101,Sheet1!$F$4:$F$5)</f>
        <v>1</v>
      </c>
    </row>
    <row r="12" spans="1:7" x14ac:dyDescent="0.4">
      <c r="C12" s="6"/>
    </row>
    <row r="13" spans="1:7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2018-07-25T07:12:05Z</dcterms:modified>
</cp:coreProperties>
</file>