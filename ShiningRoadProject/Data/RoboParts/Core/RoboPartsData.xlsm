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I7" i="1"/>
  <c r="L7" i="1"/>
  <c r="F7" i="1" l="1"/>
  <c r="D7" i="1"/>
  <c r="E7" i="1"/>
  <c r="G7" i="1"/>
  <c r="H7" i="1"/>
  <c r="K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<sst xmlns="http://schemas.openxmlformats.org/spreadsheetml/2006/main" count="44" uniqueCount="39">
  <si>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</si>
  <si>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</si>
  <si>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</si>
  <si>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</si>
  <si>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</si>
  <si>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</si>
  <si>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</si>
  <si>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</si>
  <si>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</si>
  <si>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</si>
  <si>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</si>
  <si>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</si>
  <si>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</si>
  <si>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</si>
  <si>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</si>
  <si>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</si>
  <si>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</si>
  <si>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</si>
  <si>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</si>
  <si>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</si>
  <si>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</si>
  <si>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</si>
  <si>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</si>
  <si>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</si>
  <si>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</si>
  <si>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</si>
  <si>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</si>
  <si>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</si>
  <si>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</si>
  <si>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</si>
  <si>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</si>
  <si>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</si>
  <si>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</si>
  <si>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</si>
  <si>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HYDENRIM CR-01</t>
    <phoneticPr fontId="1"/>
  </si>
  <si>
    <t>AP</t>
    <phoneticPr fontId="1"/>
  </si>
  <si>
    <t>CR-02-05 DICTYON</t>
    <phoneticPr fontId="1"/>
  </si>
  <si>
    <t>CR04 GRIFOLON</t>
    <phoneticPr fontId="1"/>
  </si>
  <si>
    <t>CR32 GRIFOLON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</si>
</sst>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A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 totalsRowFunction="average"/>
    <tableColumn id="13" name="ブースト消費(垂直)" totalsRowFunction="average"/>
    <tableColumn id="9" name="活動限界時間" totalsRowFunction="average"/>
    <tableColumn id="14" name="当たり判定サイズ" totalsRowFunction="custom">
      <totalsRowFormula>SUBTOTAL(101,Sheet1!$L$3:$L$6)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8.12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27</v>
      </c>
      <c r="L1" t="s">
        <v>28</v>
      </c>
    </row>
    <row r="2" spans="1:13" x14ac:dyDescent="0.4">
      <c r="B2" t="s">
        <v>17</v>
      </c>
      <c r="C2" t="s">
        <v>22</v>
      </c>
      <c r="D2" t="s">
        <v>35</v>
      </c>
      <c r="E2" t="s">
        <v>23</v>
      </c>
      <c r="F2" t="s">
        <v>24</v>
      </c>
      <c r="G2" t="s">
        <v>30</v>
      </c>
      <c r="H2" t="s">
        <v>31</v>
      </c>
      <c r="I2" t="s">
        <v>32</v>
      </c>
      <c r="J2" t="s">
        <v>33</v>
      </c>
      <c r="K2" t="s">
        <v>25</v>
      </c>
      <c r="L2" s="4" t="s">
        <v>29</v>
      </c>
    </row>
    <row r="3" spans="1:13" x14ac:dyDescent="0.4">
      <c r="A3" s="2" t="s">
        <v>20</v>
      </c>
      <c r="B3">
        <v>0</v>
      </c>
      <c r="C3" t="s">
        <v>36</v>
      </c>
      <c r="D3">
        <v>64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37</v>
      </c>
      <c r="D4">
        <v>252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2</v>
      </c>
    </row>
    <row r="5" spans="1:13" x14ac:dyDescent="0.4">
      <c r="B5">
        <v>2</v>
      </c>
      <c r="C5" t="s">
        <v>38</v>
      </c>
      <c r="D5">
        <v>121</v>
      </c>
      <c r="E5">
        <v>30</v>
      </c>
      <c r="F5">
        <v>15</v>
      </c>
      <c r="G5">
        <v>64</v>
      </c>
      <c r="H5">
        <v>64</v>
      </c>
      <c r="I5">
        <v>15</v>
      </c>
      <c r="J5">
        <v>35</v>
      </c>
      <c r="K5">
        <v>10</v>
      </c>
      <c r="L5" s="3">
        <v>3</v>
      </c>
    </row>
    <row r="6" spans="1:13" x14ac:dyDescent="0.4">
      <c r="B6">
        <v>3</v>
      </c>
      <c r="C6" t="s">
        <v>34</v>
      </c>
      <c r="D6">
        <v>161</v>
      </c>
      <c r="E6">
        <v>30</v>
      </c>
      <c r="F6">
        <v>30</v>
      </c>
      <c r="G6">
        <v>15</v>
      </c>
      <c r="H6">
        <v>25</v>
      </c>
      <c r="I6">
        <v>45</v>
      </c>
      <c r="J6">
        <v>55</v>
      </c>
      <c r="K6">
        <v>25</v>
      </c>
      <c r="L6" s="3">
        <v>2</v>
      </c>
    </row>
    <row r="7" spans="1:13" x14ac:dyDescent="0.4">
      <c r="A7" s="2" t="s">
        <v>21</v>
      </c>
      <c r="B7" t="s">
        <v>10</v>
      </c>
      <c r="D7">
        <f>SUBTOTAL(101,テーブル1[AP])</f>
        <v>149.5</v>
      </c>
      <c r="E7">
        <f>SUBTOTAL(101,テーブル1[EN容量])</f>
        <v>24.25</v>
      </c>
      <c r="F7">
        <f>SUBTOTAL(101,テーブル1[EN出力(回復量)])</f>
        <v>33.25</v>
      </c>
      <c r="G7">
        <f>SUBTOTAL(101,テーブル1[ブースト推力(水平)])</f>
        <v>33.5</v>
      </c>
      <c r="H7">
        <f>SUBTOTAL(101,テーブル1[ブースト消費(水平)])</f>
        <v>37.25</v>
      </c>
      <c r="I7">
        <f>SUBTOTAL(101,テーブル1[ブースト推力(垂直)])</f>
        <v>28.75</v>
      </c>
      <c r="J7">
        <f>SUBTOTAL(101,テーブル1[ブースト消費(垂直)])</f>
        <v>36.75</v>
      </c>
      <c r="K7">
        <f>SUBTOTAL(101,テーブル1[活動限界時間])</f>
        <v>17</v>
      </c>
      <c r="L7">
        <f>SUBTOTAL(101,Sheet1!$L$3:$L$6)</f>
        <v>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26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2018-12-22T05:38:38Z</dcterms:modified>
</cp:coreProperties>
</file>