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F8" i="1"/>
  <c r="L8" i="1"/>
  <c r="D8" i="1"/>
  <c r="E8" i="1"/>
  <c r="G8" i="1"/>
  <c r="H8" i="1"/>
  <c r="K8" i="1"/>
  <c r="J8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<sst xmlns="http://schemas.openxmlformats.org/spreadsheetml/2006/main" count="44" uniqueCount="39">
  <si>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</si>
  <si>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</si>
  <si>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</si>
  <si>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</si>
  <si>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</si>
  <si>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</si>
  <si>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</si>
  <si>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</si>
  <si>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</si>
  <si>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</si>
  <si>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</si>
  <si>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</si>
  <si>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</si>
  <si>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</si>
  <si>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</si>
  <si>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</si>
  <si>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</si>
  <si>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</si>
  <si>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</si>
  <si>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</si>
  <si>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</si>
  <si>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</si>
  <si>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</si>
  <si>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</si>
  <si>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</si>
  <si>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</si>
  <si>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ブースター推力</t>
    <rPh sb="5" eb="7">
      <t>スイリョク</t>
    </rPh>
    <phoneticPr fontId="1"/>
  </si>
  <si>
    <t>ブースター消費EN</t>
    <rPh sb="5" eb="7">
      <t>ショウヒ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</si>
  <si>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</si>
  <si>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</si>
  <si>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</si>
  <si>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</si>
  <si>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</si>
  <si>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coreman</t>
    <phoneticPr fontId="1"/>
  </si>
  <si>
    <t>coreMen</t>
    <phoneticPr fontId="1"/>
  </si>
  <si>
    <t>koreBoy</t>
    <phoneticPr fontId="1"/>
  </si>
  <si>
    <t>coreGG</t>
    <phoneticPr fontId="1"/>
  </si>
  <si>
    <t>コアパーツ(胴体)</t>
    <rPh sb="6" eb="8">
      <t>ドウタイ</t>
    </rPh>
    <phoneticPr fontId="1"/>
  </si>
  <si>
    <t>srfgsg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</si>
</sst>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8" totalsRowCount="1">
  <autoFilter ref="B2:L7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ター推力" totalsRowFunction="average"/>
    <tableColumn id="6" name="ブースター消費EN" totalsRowFunction="average"/>
    <tableColumn id="7" name="クイック推力" totalsRowFunction="average"/>
    <tableColumn id="8" name="クイック消費" totalsRowFunction="average"/>
    <tableColumn id="9" name="活動限界時間" totalsRowFunction="average"/>
    <tableColumn id="10" name="クイック噴射時間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"/>
  <sheetViews>
    <sheetView tabSelected="1" zoomScale="70" zoomScaleNormal="70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18" bestFit="1" customWidth="1"/>
    <col min="8" max="8" width="20.875" bestFit="1" customWidth="1"/>
    <col min="9" max="11" width="15.875" bestFit="1" customWidth="1"/>
    <col min="12" max="12" width="20" bestFit="1" customWidth="1"/>
    <col min="13" max="13" width="22.75" bestFit="1" customWidth="1"/>
    <col min="14" max="14" width="7.125" customWidth="1"/>
    <col min="15" max="15" width="13" bestFit="1" customWidth="1"/>
    <col min="16" max="16" width="4.25" customWidth="1"/>
    <col min="17" max="17" width="27.625" bestFit="1" customWidth="1"/>
  </cols>
  <sheetData>
    <row r="1" spans="1:13" x14ac:dyDescent="0.4">
      <c r="A1" t="s">
        <v>37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</row>
    <row r="3" spans="1:13" x14ac:dyDescent="0.4">
      <c r="A3" s="2" t="s">
        <v>20</v>
      </c>
      <c r="B3">
        <v>0</v>
      </c>
      <c r="C3" t="s">
        <v>33</v>
      </c>
      <c r="D3">
        <v>11</v>
      </c>
      <c r="E3">
        <v>12</v>
      </c>
      <c r="F3">
        <v>13</v>
      </c>
      <c r="G3">
        <v>14</v>
      </c>
      <c r="H3">
        <v>15</v>
      </c>
      <c r="I3">
        <v>16</v>
      </c>
      <c r="J3">
        <v>17</v>
      </c>
      <c r="K3">
        <v>18</v>
      </c>
      <c r="L3">
        <v>19</v>
      </c>
      <c r="M3" s="2" t="s">
        <v>18</v>
      </c>
    </row>
    <row r="4" spans="1:13" x14ac:dyDescent="0.4">
      <c r="B4">
        <v>1</v>
      </c>
      <c r="C4" t="s">
        <v>34</v>
      </c>
      <c r="D4">
        <v>21</v>
      </c>
      <c r="E4">
        <v>22</v>
      </c>
      <c r="F4">
        <v>23</v>
      </c>
      <c r="G4">
        <v>24</v>
      </c>
      <c r="H4">
        <v>25</v>
      </c>
      <c r="I4">
        <v>26</v>
      </c>
      <c r="J4">
        <v>27</v>
      </c>
      <c r="K4">
        <v>28</v>
      </c>
      <c r="L4">
        <v>29</v>
      </c>
    </row>
    <row r="5" spans="1:13" x14ac:dyDescent="0.4">
      <c r="B5">
        <v>2</v>
      </c>
      <c r="C5" t="s">
        <v>35</v>
      </c>
      <c r="D5">
        <v>31</v>
      </c>
      <c r="E5">
        <v>32</v>
      </c>
      <c r="F5">
        <v>33</v>
      </c>
      <c r="G5">
        <v>34</v>
      </c>
      <c r="H5">
        <v>35</v>
      </c>
      <c r="I5">
        <v>36</v>
      </c>
      <c r="J5">
        <v>37</v>
      </c>
      <c r="K5">
        <v>38</v>
      </c>
      <c r="L5">
        <v>39</v>
      </c>
    </row>
    <row r="6" spans="1:13" x14ac:dyDescent="0.4">
      <c r="B6">
        <v>5</v>
      </c>
      <c r="C6" t="s">
        <v>38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</row>
    <row r="7" spans="1:13" x14ac:dyDescent="0.4">
      <c r="B7">
        <v>3</v>
      </c>
      <c r="C7" t="s">
        <v>36</v>
      </c>
      <c r="D7">
        <v>41</v>
      </c>
      <c r="E7">
        <v>42</v>
      </c>
      <c r="F7">
        <v>43</v>
      </c>
      <c r="G7">
        <v>44</v>
      </c>
      <c r="H7">
        <v>45</v>
      </c>
      <c r="I7">
        <v>46</v>
      </c>
      <c r="J7">
        <v>47</v>
      </c>
      <c r="K7">
        <v>48</v>
      </c>
      <c r="L7">
        <v>49</v>
      </c>
    </row>
    <row r="8" spans="1:13" x14ac:dyDescent="0.4">
      <c r="A8" s="2" t="s">
        <v>21</v>
      </c>
      <c r="B8" t="s">
        <v>10</v>
      </c>
      <c r="D8">
        <f>SUBTOTAL(101,テーブル1[HP])</f>
        <v>21.8</v>
      </c>
      <c r="E8">
        <f>SUBTOTAL(101,テーブル1[EN容量])</f>
        <v>22.6</v>
      </c>
      <c r="F8">
        <f>SUBTOTAL(101,テーブル1[EN出力(回復量)])</f>
        <v>23.4</v>
      </c>
      <c r="G8">
        <f>SUBTOTAL(101,テーブル1[ブースター推力])</f>
        <v>24.2</v>
      </c>
      <c r="H8">
        <f>SUBTOTAL(101,テーブル1[ブースター消費EN])</f>
        <v>25</v>
      </c>
      <c r="I8">
        <f>SUBTOTAL(101,テーブル1[クイック推力])</f>
        <v>25.8</v>
      </c>
      <c r="J8">
        <f>SUBTOTAL(101,テーブル1[クイック消費])</f>
        <v>26.6</v>
      </c>
      <c r="K8">
        <f>SUBTOTAL(101,テーブル1[活動限界時間])</f>
        <v>27.4</v>
      </c>
      <c r="L8">
        <f>SUBTOTAL(101,テーブル1[クイック噴射時間])</f>
        <v>28.2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2018-06-06T07:00:32Z</dcterms:modified>
</cp:coreProperties>
</file>