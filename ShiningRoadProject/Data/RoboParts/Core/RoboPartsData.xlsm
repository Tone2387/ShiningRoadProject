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1" l="1"/>
  <c r="F5" i="1" l="1"/>
  <c r="D5" i="1"/>
  <c r="E5" i="1"/>
  <c r="G5" i="1"/>
  <c r="H5" i="1"/>
  <c r="K5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<sst xmlns="http://schemas.openxmlformats.org/spreadsheetml/2006/main" count="42" uniqueCount="37">
  <si>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</si>
  <si>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</si>
  <si>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</si>
  <si>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</si>
  <si>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</si>
  <si>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</si>
  <si>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</si>
  <si>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</si>
  <si>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</si>
  <si>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</si>
  <si>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</si>
  <si>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</si>
  <si>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</si>
  <si>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</si>
  <si>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</si>
  <si>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</si>
  <si>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</si>
  <si>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</si>
  <si>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</si>
  <si>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</si>
  <si>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</si>
  <si>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</si>
  <si>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</si>
  <si>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</si>
  <si>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</si>
  <si>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</si>
  <si>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</si>
  <si>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</si>
  <si>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</si>
  <si>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</si>
  <si>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</si>
  <si>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</si>
  <si>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</si>
  <si>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</si>
  <si>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</si>
  <si>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BlueCore</t>
    <phoneticPr fontId="1"/>
  </si>
  <si>
    <t>DAINOBORI CORE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</si>
</sst>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5" totalsRowCount="1">
  <autoFilter ref="B2:L4"/>
  <tableColumns count="11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9" name="活動限界時間" totalsRowFunction="average"/>
    <tableColumn id="14" name="当たり判定サイズ" totalsRowFunction="custom">
      <totalsRowFormula>SUBTOTAL(101,Sheet1!$L$3:$L$4)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28</v>
      </c>
      <c r="L1" t="s">
        <v>29</v>
      </c>
    </row>
    <row r="2" spans="1:13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31</v>
      </c>
      <c r="H2" t="s">
        <v>32</v>
      </c>
      <c r="I2" t="s">
        <v>33</v>
      </c>
      <c r="J2" t="s">
        <v>34</v>
      </c>
      <c r="K2" t="s">
        <v>26</v>
      </c>
      <c r="L2" s="4" t="s">
        <v>30</v>
      </c>
    </row>
    <row r="3" spans="1:13" x14ac:dyDescent="0.4">
      <c r="A3" s="2" t="s">
        <v>20</v>
      </c>
      <c r="B3">
        <v>0</v>
      </c>
      <c r="C3" t="s">
        <v>36</v>
      </c>
      <c r="D3">
        <v>25</v>
      </c>
      <c r="E3">
        <v>15</v>
      </c>
      <c r="F3">
        <v>65</v>
      </c>
      <c r="G3">
        <v>31</v>
      </c>
      <c r="H3">
        <v>35</v>
      </c>
      <c r="I3">
        <v>31</v>
      </c>
      <c r="J3">
        <v>32</v>
      </c>
      <c r="K3">
        <v>5</v>
      </c>
      <c r="L3" s="3">
        <v>1</v>
      </c>
      <c r="M3" s="2" t="s">
        <v>18</v>
      </c>
    </row>
    <row r="4" spans="1:13" x14ac:dyDescent="0.4">
      <c r="B4">
        <v>1</v>
      </c>
      <c r="C4" t="s">
        <v>35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28</v>
      </c>
      <c r="L4" s="3">
        <v>1</v>
      </c>
    </row>
    <row r="5" spans="1:13" x14ac:dyDescent="0.4">
      <c r="A5" s="2" t="s">
        <v>21</v>
      </c>
      <c r="B5" t="s">
        <v>10</v>
      </c>
      <c r="D5">
        <f>SUBTOTAL(101,テーブル1[HP])</f>
        <v>23</v>
      </c>
      <c r="E5">
        <f>SUBTOTAL(101,テーブル1[EN容量])</f>
        <v>18.5</v>
      </c>
      <c r="F5">
        <f>SUBTOTAL(101,テーブル1[EN出力(回復量)])</f>
        <v>44</v>
      </c>
      <c r="G5">
        <f>SUBTOTAL(101,テーブル1[ブースト推力(水平)])</f>
        <v>27.5</v>
      </c>
      <c r="H5">
        <f>SUBTOTAL(101,テーブル1[ブースト消費(水平)])</f>
        <v>30</v>
      </c>
      <c r="K5">
        <f>SUBTOTAL(101,テーブル1[活動限界時間])</f>
        <v>16.5</v>
      </c>
      <c r="L5">
        <f>SUBTOTAL(101,Sheet1!$L$3:$L$4)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27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2018-10-11T05:12:07Z</dcterms:modified>
</cp:coreProperties>
</file>