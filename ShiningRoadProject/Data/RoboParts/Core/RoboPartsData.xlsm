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I7" i="1"/>
  <c r="L7" i="1"/>
  <c r="F7" i="1" l="1"/>
  <c r="D7" i="1"/>
  <c r="E7" i="1"/>
  <c r="G7" i="1"/>
  <c r="H7" i="1"/>
  <c r="K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<sst xmlns="http://schemas.openxmlformats.org/spreadsheetml/2006/main" count="44" uniqueCount="39">
  <si>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</si>
  <si>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</si>
  <si>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</si>
  <si>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</si>
  <si>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</si>
  <si>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</si>
  <si>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</si>
  <si>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</si>
  <si>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</si>
  <si>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</si>
  <si>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</si>
  <si>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</si>
  <si>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</si>
  <si>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</si>
  <si>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</si>
  <si>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</si>
  <si>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</si>
  <si>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</si>
  <si>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</si>
  <si>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</si>
  <si>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</si>
  <si>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</si>
  <si>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</si>
  <si>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</si>
  <si>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</si>
  <si>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</si>
  <si>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</si>
  <si>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</si>
  <si>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</si>
  <si>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</si>
  <si>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</si>
  <si>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</si>
  <si>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</si>
  <si>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</si>
  <si>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</si>
  <si>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BlueCore</t>
    <phoneticPr fontId="1"/>
  </si>
  <si>
    <t>DAINOBORI CORE</t>
    <phoneticPr fontId="1"/>
  </si>
  <si>
    <t>DieDarBochiCore</t>
    <phoneticPr fontId="1"/>
  </si>
  <si>
    <t>Inver Core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</si>
</sst>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7" totalsRowCount="1">
  <autoFilter ref="B2:L6"/>
  <tableColumns count="11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 totalsRowFunction="average"/>
    <tableColumn id="13" name="ブースト消費(垂直)" totalsRowFunction="average"/>
    <tableColumn id="9" name="活動限界時間" totalsRowFunction="average"/>
    <tableColumn id="14" name="当たり判定サイズ" totalsRowFunction="custom">
      <totalsRowFormula>SUBTOTAL(101,Sheet1!$L$3:$L$6)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1" width="15.875" bestFit="1" customWidth="1"/>
    <col min="12" max="12" width="23.5" bestFit="1" customWidth="1"/>
    <col min="13" max="13" width="20" customWidth="1"/>
    <col min="14" max="14" width="22.75" bestFit="1" customWidth="1"/>
    <col min="15" max="15" width="7.125" customWidth="1"/>
    <col min="16" max="16" width="13" bestFit="1" customWidth="1"/>
    <col min="17" max="17" width="4.25" customWidth="1"/>
    <col min="18" max="18" width="27.625" bestFit="1" customWidth="1"/>
  </cols>
  <sheetData>
    <row r="1" spans="1:13" x14ac:dyDescent="0.4">
      <c r="A1" t="s">
        <v>28</v>
      </c>
      <c r="L1" t="s">
        <v>29</v>
      </c>
    </row>
    <row r="2" spans="1:13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31</v>
      </c>
      <c r="H2" t="s">
        <v>32</v>
      </c>
      <c r="I2" t="s">
        <v>33</v>
      </c>
      <c r="J2" t="s">
        <v>34</v>
      </c>
      <c r="K2" t="s">
        <v>26</v>
      </c>
      <c r="L2" s="4" t="s">
        <v>30</v>
      </c>
    </row>
    <row r="3" spans="1:13" x14ac:dyDescent="0.4">
      <c r="A3" s="2" t="s">
        <v>20</v>
      </c>
      <c r="B3">
        <v>0</v>
      </c>
      <c r="C3" t="s">
        <v>36</v>
      </c>
      <c r="D3">
        <v>25</v>
      </c>
      <c r="E3">
        <v>15</v>
      </c>
      <c r="F3">
        <v>65</v>
      </c>
      <c r="G3">
        <v>31</v>
      </c>
      <c r="H3">
        <v>35</v>
      </c>
      <c r="I3">
        <v>31</v>
      </c>
      <c r="J3">
        <v>32</v>
      </c>
      <c r="K3">
        <v>5</v>
      </c>
      <c r="L3" s="3">
        <v>1</v>
      </c>
      <c r="M3" s="2" t="s">
        <v>18</v>
      </c>
    </row>
    <row r="4" spans="1:13" x14ac:dyDescent="0.4">
      <c r="B4">
        <v>1</v>
      </c>
      <c r="C4" t="s">
        <v>35</v>
      </c>
      <c r="D4">
        <v>21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28</v>
      </c>
      <c r="L4" s="3">
        <v>1</v>
      </c>
    </row>
    <row r="5" spans="1:13" x14ac:dyDescent="0.4">
      <c r="B5">
        <v>2</v>
      </c>
      <c r="C5" t="s">
        <v>37</v>
      </c>
      <c r="D5">
        <v>32</v>
      </c>
      <c r="E5">
        <v>30</v>
      </c>
      <c r="F5">
        <v>15</v>
      </c>
      <c r="G5">
        <v>64</v>
      </c>
      <c r="H5">
        <v>64</v>
      </c>
      <c r="I5">
        <v>15</v>
      </c>
      <c r="J5">
        <v>35</v>
      </c>
      <c r="K5">
        <v>25</v>
      </c>
      <c r="L5" s="3">
        <v>2</v>
      </c>
    </row>
    <row r="6" spans="1:13" x14ac:dyDescent="0.4">
      <c r="B6">
        <v>3</v>
      </c>
      <c r="C6" t="s">
        <v>38</v>
      </c>
      <c r="D6">
        <v>30</v>
      </c>
      <c r="E6">
        <v>30</v>
      </c>
      <c r="F6">
        <v>30</v>
      </c>
      <c r="G6">
        <v>15</v>
      </c>
      <c r="H6">
        <v>25</v>
      </c>
      <c r="I6">
        <v>45</v>
      </c>
      <c r="J6">
        <v>55</v>
      </c>
      <c r="K6">
        <v>10</v>
      </c>
      <c r="L6" s="3">
        <v>2</v>
      </c>
    </row>
    <row r="7" spans="1:13" x14ac:dyDescent="0.4">
      <c r="A7" s="2" t="s">
        <v>21</v>
      </c>
      <c r="B7" t="s">
        <v>10</v>
      </c>
      <c r="D7">
        <f>SUBTOTAL(101,テーブル1[HP])</f>
        <v>27</v>
      </c>
      <c r="E7">
        <f>SUBTOTAL(101,テーブル1[EN容量])</f>
        <v>24.25</v>
      </c>
      <c r="F7">
        <f>SUBTOTAL(101,テーブル1[EN出力(回復量)])</f>
        <v>33.25</v>
      </c>
      <c r="G7">
        <f>SUBTOTAL(101,テーブル1[ブースト推力(水平)])</f>
        <v>33.5</v>
      </c>
      <c r="H7">
        <f>SUBTOTAL(101,テーブル1[ブースト消費(水平)])</f>
        <v>37.25</v>
      </c>
      <c r="I7">
        <f>SUBTOTAL(101,テーブル1[ブースト推力(垂直)])</f>
        <v>28.75</v>
      </c>
      <c r="J7">
        <f>SUBTOTAL(101,テーブル1[ブースト消費(垂直)])</f>
        <v>36.75</v>
      </c>
      <c r="K7">
        <f>SUBTOTAL(101,テーブル1[活動限界時間])</f>
        <v>17</v>
      </c>
      <c r="L7">
        <f>SUBTOTAL(101,Sheet1!$L$3:$L$6)</f>
        <v>1.5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27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2018-12-12T06:32:20Z</dcterms:modified>
</cp:coreProperties>
</file>