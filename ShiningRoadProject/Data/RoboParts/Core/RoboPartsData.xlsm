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K5" i="1" l="1"/>
  <c r="F5" i="1"/>
  <c r="M5" i="1"/>
  <c r="D5" i="1"/>
  <c r="E5" i="1"/>
  <c r="G5" i="1"/>
  <c r="H5" i="1"/>
  <c r="N5" i="1"/>
  <c r="L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<sst xmlns="http://schemas.openxmlformats.org/spreadsheetml/2006/main" count="45" uniqueCount="40">
  <si>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</si>
  <si>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</si>
  <si>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</si>
  <si>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</si>
  <si>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</si>
  <si>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</si>
  <si>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</si>
  <si>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</si>
  <si>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</si>
  <si>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</si>
  <si>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</si>
  <si>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</si>
  <si>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</si>
  <si>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</si>
  <si>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</si>
  <si>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</si>
  <si>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</si>
  <si>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</si>
  <si>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</si>
  <si>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</si>
  <si>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</si>
  <si>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</si>
  <si>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</si>
  <si>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</si>
  <si>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</si>
  <si>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</si>
  <si>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</si>
  <si>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</si>
  <si>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</si>
  <si>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</si>
  <si>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</si>
  <si>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</si>
  <si>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</si>
  <si>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</si>
  <si>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</si>
  <si>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</si>
  <si>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</si>
  <si>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</si>
  <si>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YellowCore</t>
    <phoneticPr fontId="1"/>
  </si>
  <si>
    <t>Core N.G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</si>
</sst>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O5" totalsRowCount="1">
  <autoFilter ref="B2:O4"/>
  <tableColumns count="14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7" name="クイック推力" totalsRowFunction="average"/>
    <tableColumn id="8" name="クイック消費" totalsRowFunction="average"/>
    <tableColumn id="10" name="クイック噴射時間" totalsRowFunction="average"/>
    <tableColumn id="9" name="活動限界時間" totalsRowFunction="average"/>
    <tableColumn id="14" name="当たり判定サイズ" totalsRowFunction="custom">
      <totalsRowFormula>SUBTOTAL(101,Sheet1!$O$3:$O$4)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2" width="15.875" bestFit="1" customWidth="1"/>
    <col min="13" max="13" width="20" bestFit="1" customWidth="1"/>
    <col min="14" max="14" width="15.875" bestFit="1" customWidth="1"/>
    <col min="15" max="15" width="23.5" bestFit="1" customWidth="1"/>
    <col min="16" max="16" width="20" customWidth="1"/>
    <col min="17" max="17" width="22.75" bestFit="1" customWidth="1"/>
    <col min="18" max="18" width="7.125" customWidth="1"/>
    <col min="19" max="19" width="13" bestFit="1" customWidth="1"/>
    <col min="20" max="20" width="4.25" customWidth="1"/>
    <col min="21" max="21" width="27.625" bestFit="1" customWidth="1"/>
  </cols>
  <sheetData>
    <row r="1" spans="1:16" x14ac:dyDescent="0.4">
      <c r="A1" t="s">
        <v>31</v>
      </c>
      <c r="O1" t="s">
        <v>32</v>
      </c>
    </row>
    <row r="2" spans="1:16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34</v>
      </c>
      <c r="H2" t="s">
        <v>35</v>
      </c>
      <c r="I2" t="s">
        <v>36</v>
      </c>
      <c r="J2" t="s">
        <v>37</v>
      </c>
      <c r="K2" t="s">
        <v>26</v>
      </c>
      <c r="L2" t="s">
        <v>27</v>
      </c>
      <c r="M2" t="s">
        <v>29</v>
      </c>
      <c r="N2" t="s">
        <v>28</v>
      </c>
      <c r="O2" s="4" t="s">
        <v>33</v>
      </c>
    </row>
    <row r="3" spans="1:16" x14ac:dyDescent="0.4">
      <c r="A3" s="2" t="s">
        <v>20</v>
      </c>
      <c r="B3">
        <v>0</v>
      </c>
      <c r="C3" t="s">
        <v>38</v>
      </c>
      <c r="D3">
        <v>11</v>
      </c>
      <c r="E3">
        <v>12</v>
      </c>
      <c r="F3">
        <v>13</v>
      </c>
      <c r="G3">
        <v>14</v>
      </c>
      <c r="H3">
        <v>15</v>
      </c>
      <c r="I3">
        <v>14</v>
      </c>
      <c r="J3">
        <v>15</v>
      </c>
      <c r="K3">
        <v>16</v>
      </c>
      <c r="L3">
        <v>17</v>
      </c>
      <c r="M3">
        <v>19</v>
      </c>
      <c r="N3">
        <v>18</v>
      </c>
      <c r="O3" s="3">
        <v>1</v>
      </c>
      <c r="P3" s="2" t="s">
        <v>18</v>
      </c>
    </row>
    <row r="4" spans="1:16" x14ac:dyDescent="0.4">
      <c r="B4">
        <v>1</v>
      </c>
      <c r="C4" t="s">
        <v>39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26</v>
      </c>
      <c r="L4">
        <v>27</v>
      </c>
      <c r="M4">
        <v>29</v>
      </c>
      <c r="N4">
        <v>28</v>
      </c>
      <c r="O4">
        <v>1</v>
      </c>
    </row>
    <row r="5" spans="1:16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SUBTOTAL(101,テーブル1[EN容量])</f>
        <v>17</v>
      </c>
      <c r="F5">
        <f>SUBTOTAL(101,テーブル1[EN出力(回復量)])</f>
        <v>18</v>
      </c>
      <c r="G5">
        <f>SUBTOTAL(101,テーブル1[ブースト推力(水平)])</f>
        <v>19</v>
      </c>
      <c r="H5">
        <f>SUBTOTAL(101,テーブル1[ブースト消費(水平)])</f>
        <v>20</v>
      </c>
      <c r="K5">
        <f>SUBTOTAL(101,テーブル1[クイック推力])</f>
        <v>21</v>
      </c>
      <c r="L5">
        <f>SUBTOTAL(101,テーブル1[クイック消費])</f>
        <v>22</v>
      </c>
      <c r="M5">
        <f>SUBTOTAL(101,テーブル1[クイック噴射時間])</f>
        <v>24</v>
      </c>
      <c r="N5">
        <f>SUBTOTAL(101,テーブル1[活動限界時間])</f>
        <v>23</v>
      </c>
      <c r="O5">
        <f>SUBTOTAL(101,Sheet1!$O$3:$O$4)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30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2018-07-11T06:27:14Z</dcterms:modified>
</cp:coreProperties>
</file>