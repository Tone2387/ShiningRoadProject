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amWalker\Documents\GitHub\ShiningRoadProject\ShiningRoadProject\Data\RoboParts\Core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I7" i="1"/>
  <c r="L7" i="1"/>
  <c r="F7" i="1" l="1"/>
  <c r="D7" i="1"/>
  <c r="E7" i="1"/>
  <c r="G7" i="1"/>
  <c r="H7" i="1"/>
  <c r="K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<sst xmlns="http://schemas.openxmlformats.org/spreadsheetml/2006/main" count="44" uniqueCount="39">
  <si>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</si>
  <si>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</si>
  <si>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</si>
  <si>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</si>
  <si>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</si>
  <si>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</si>
  <si>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</si>
  <si>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</si>
  <si>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</si>
  <si>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</si>
  <si>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</si>
  <si>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</si>
  <si>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</si>
  <si>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</si>
  <si>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</si>
  <si>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</si>
  <si>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</si>
  <si>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</si>
  <si>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</si>
  <si>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</si>
  <si>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</si>
  <si>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</si>
  <si>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</si>
  <si>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EN容量</t>
    <rPh sb="2" eb="4">
      <t>ヨウリョウ</t>
    </rPh>
    <phoneticPr fontId="1"/>
  </si>
  <si>
    <t>EN出力(回復量)</t>
    <rPh sb="2" eb="4">
      <t>シュツリョク</t>
    </rPh>
    <rPh sb="5" eb="7">
      <t>カイフク</t>
    </rPh>
    <rPh sb="7" eb="8">
      <t>リョウ</t>
    </rPh>
    <phoneticPr fontId="1"/>
  </si>
  <si>
    <t>活動限界時間</t>
    <rPh sb="0" eb="2">
      <t>カツドウ</t>
    </rPh>
    <rPh sb="2" eb="4">
      <t>ゲンカイ</t>
    </rPh>
    <rPh sb="4" eb="6">
      <t>ジカン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</si>
  <si>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</si>
  <si>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コアパーツ(胴体)</t>
    <rPh sb="6" eb="8">
      <t>ドウタイ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</si>
  <si>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</si>
  <si>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</si>
  <si>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ブースト推力(水平)</t>
    <rPh sb="4" eb="6">
      <t>スイリョク</t>
    </rPh>
    <rPh sb="7" eb="9">
      <t>スイヘイ</t>
    </rPh>
    <phoneticPr fontId="1"/>
  </si>
  <si>
    <t>ブースト消費(水平)</t>
    <rPh sb="4" eb="6">
      <t>ショウヒ</t>
    </rPh>
    <rPh sb="7" eb="9">
      <t>スイヘイ</t>
    </rPh>
    <phoneticPr fontId="1"/>
  </si>
  <si>
    <t>ブースト推力(垂直)</t>
    <rPh sb="4" eb="6">
      <t>スイリョク</t>
    </rPh>
    <rPh sb="7" eb="9">
      <t>スイチョク</t>
    </rPh>
    <phoneticPr fontId="1"/>
  </si>
  <si>
    <t>ブースト消費(垂直)</t>
    <rPh sb="4" eb="6">
      <t>ショウヒ</t>
    </rPh>
    <rPh sb="7" eb="9">
      <t>スイチョク</t>
    </rPh>
    <phoneticPr fontId="1"/>
  </si>
  <si>
    <t>HYDENRIM CR-01</t>
    <phoneticPr fontId="1"/>
  </si>
  <si>
    <t>AP</t>
    <phoneticPr fontId="1"/>
  </si>
  <si>
    <t>CR-02-05 DICTYON</t>
    <phoneticPr fontId="1"/>
  </si>
  <si>
    <t>CR04 GRIFOLON</t>
    <phoneticPr fontId="1"/>
  </si>
  <si>
    <t>CR32 GRIFOLON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</si>
</sst>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L7" totalsRowCount="1">
  <autoFilter ref="B2:L6"/>
  <tableColumns count="11">
    <tableColumn id="1" name="パーツ番号(モデル名に連結)" totalsRowLabel="平均"/>
    <tableColumn id="12" name="名前(英字のみ)"/>
    <tableColumn id="2" name="AP" totalsRowFunction="average"/>
    <tableColumn id="3" name="EN容量" totalsRowFunction="average"/>
    <tableColumn id="4" name="EN出力(回復量)" totalsRowFunction="average"/>
    <tableColumn id="5" name="ブースト推力(水平)" totalsRowFunction="average"/>
    <tableColumn id="6" name="ブースト消費(水平)" totalsRowFunction="average"/>
    <tableColumn id="11" name="ブースト推力(垂直)" totalsRowFunction="average"/>
    <tableColumn id="13" name="ブースト消費(垂直)" totalsRowFunction="average"/>
    <tableColumn id="9" name="活動限界時間" totalsRowFunction="average"/>
    <tableColumn id="14" name="当たり判定サイズ" totalsRowFunction="custom">
      <totalsRowFormula>SUBTOTAL(101,Sheet1!$L$3:$L$6)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bestFit="1" customWidth="1"/>
    <col min="3" max="3" width="18.125" bestFit="1" customWidth="1"/>
    <col min="4" max="4" width="7.625" bestFit="1" customWidth="1"/>
    <col min="5" max="5" width="11" bestFit="1" customWidth="1"/>
    <col min="6" max="6" width="18.375" bestFit="1" customWidth="1"/>
    <col min="7" max="7" width="21.5" customWidth="1"/>
    <col min="8" max="8" width="21.5" bestFit="1" customWidth="1"/>
    <col min="9" max="10" width="20.875" customWidth="1"/>
    <col min="11" max="11" width="15.875" bestFit="1" customWidth="1"/>
    <col min="12" max="12" width="23.5" bestFit="1" customWidth="1"/>
    <col min="13" max="13" width="20" customWidth="1"/>
    <col min="14" max="14" width="22.75" bestFit="1" customWidth="1"/>
    <col min="15" max="15" width="7.125" customWidth="1"/>
    <col min="16" max="16" width="13" bestFit="1" customWidth="1"/>
    <col min="17" max="17" width="4.25" customWidth="1"/>
    <col min="18" max="18" width="27.625" bestFit="1" customWidth="1"/>
  </cols>
  <sheetData>
    <row r="1" spans="1:13" x14ac:dyDescent="0.4">
      <c r="A1" t="s">
        <v>27</v>
      </c>
      <c r="L1" t="s">
        <v>28</v>
      </c>
    </row>
    <row r="2" spans="1:13" x14ac:dyDescent="0.4">
      <c r="B2" t="s">
        <v>17</v>
      </c>
      <c r="C2" t="s">
        <v>22</v>
      </c>
      <c r="D2" t="s">
        <v>35</v>
      </c>
      <c r="E2" t="s">
        <v>23</v>
      </c>
      <c r="F2" t="s">
        <v>24</v>
      </c>
      <c r="G2" t="s">
        <v>30</v>
      </c>
      <c r="H2" t="s">
        <v>31</v>
      </c>
      <c r="I2" t="s">
        <v>32</v>
      </c>
      <c r="J2" t="s">
        <v>33</v>
      </c>
      <c r="K2" t="s">
        <v>25</v>
      </c>
      <c r="L2" s="4" t="s">
        <v>29</v>
      </c>
    </row>
    <row r="3" spans="1:13" x14ac:dyDescent="0.4">
      <c r="A3" s="2" t="s">
        <v>20</v>
      </c>
      <c r="B3">
        <v>0</v>
      </c>
      <c r="C3" t="s">
        <v>36</v>
      </c>
      <c r="D3">
        <v>5000</v>
      </c>
      <c r="E3">
        <v>10000</v>
      </c>
      <c r="F3">
        <v>50</v>
      </c>
      <c r="G3">
        <v>45</v>
      </c>
      <c r="H3">
        <v>30</v>
      </c>
      <c r="I3">
        <v>45</v>
      </c>
      <c r="J3">
        <v>30</v>
      </c>
      <c r="K3">
        <v>300</v>
      </c>
      <c r="L3" s="3">
        <v>1</v>
      </c>
      <c r="M3" s="2" t="s">
        <v>18</v>
      </c>
    </row>
    <row r="4" spans="1:13" x14ac:dyDescent="0.4">
      <c r="B4">
        <v>1</v>
      </c>
      <c r="C4" t="s">
        <v>37</v>
      </c>
      <c r="D4">
        <v>8000</v>
      </c>
      <c r="E4">
        <v>20000</v>
      </c>
      <c r="F4">
        <v>30</v>
      </c>
      <c r="G4">
        <v>20</v>
      </c>
      <c r="H4">
        <v>10</v>
      </c>
      <c r="I4">
        <v>30</v>
      </c>
      <c r="J4">
        <v>15</v>
      </c>
      <c r="K4">
        <v>480</v>
      </c>
      <c r="L4" s="3">
        <v>2</v>
      </c>
    </row>
    <row r="5" spans="1:13" x14ac:dyDescent="0.4">
      <c r="B5">
        <v>2</v>
      </c>
      <c r="C5" t="s">
        <v>38</v>
      </c>
      <c r="D5">
        <v>6500</v>
      </c>
      <c r="E5">
        <v>15000</v>
      </c>
      <c r="F5">
        <v>25</v>
      </c>
      <c r="G5">
        <v>50</v>
      </c>
      <c r="H5">
        <v>50</v>
      </c>
      <c r="I5">
        <v>20</v>
      </c>
      <c r="J5">
        <v>40</v>
      </c>
      <c r="K5">
        <v>360</v>
      </c>
      <c r="L5" s="3">
        <v>3</v>
      </c>
    </row>
    <row r="6" spans="1:13" x14ac:dyDescent="0.4">
      <c r="B6">
        <v>3</v>
      </c>
      <c r="C6" t="s">
        <v>34</v>
      </c>
      <c r="D6">
        <v>7000</v>
      </c>
      <c r="E6">
        <v>17500</v>
      </c>
      <c r="F6">
        <v>40</v>
      </c>
      <c r="G6">
        <v>15</v>
      </c>
      <c r="H6">
        <v>10</v>
      </c>
      <c r="I6">
        <v>50</v>
      </c>
      <c r="J6">
        <v>15</v>
      </c>
      <c r="K6">
        <v>420</v>
      </c>
      <c r="L6" s="3">
        <v>2</v>
      </c>
    </row>
    <row r="7" spans="1:13" x14ac:dyDescent="0.4">
      <c r="A7" s="2" t="s">
        <v>21</v>
      </c>
      <c r="B7" t="s">
        <v>10</v>
      </c>
      <c r="D7">
        <f>SUBTOTAL(101,テーブル1[AP])</f>
        <v>6625</v>
      </c>
      <c r="E7">
        <f>SUBTOTAL(101,テーブル1[EN容量])</f>
        <v>15625</v>
      </c>
      <c r="F7">
        <f>SUBTOTAL(101,テーブル1[EN出力(回復量)])</f>
        <v>36.25</v>
      </c>
      <c r="G7">
        <f>SUBTOTAL(101,テーブル1[ブースト推力(水平)])</f>
        <v>32.5</v>
      </c>
      <c r="H7">
        <f>SUBTOTAL(101,テーブル1[ブースト消費(水平)])</f>
        <v>25</v>
      </c>
      <c r="I7">
        <f>SUBTOTAL(101,テーブル1[ブースト推力(垂直)])</f>
        <v>36.25</v>
      </c>
      <c r="J7">
        <f>SUBTOTAL(101,テーブル1[ブースト消費(垂直)])</f>
        <v>25</v>
      </c>
      <c r="K7">
        <f>SUBTOTAL(101,テーブル1[活動限界時間])</f>
        <v>390</v>
      </c>
      <c r="L7">
        <f>SUBTOTAL(101,Sheet1!$L$3:$L$6)</f>
        <v>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26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Windows ユーザー</cp:lastModifiedBy>
  <dcterms:created xsi:type="dcterms:W3CDTF">2018-05-31T06:30:55Z</dcterms:created>
  <dcterms:modified xsi:type="dcterms:W3CDTF">2019-01-21T05:40:36Z</dcterms:modified>
</cp:coreProperties>
</file>