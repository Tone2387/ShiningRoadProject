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J16" i="2" l="1"/>
  <c r="I16" i="2"/>
  <c r="H16" i="2"/>
  <c r="G16" i="2"/>
  <c r="F16" i="2"/>
  <c r="E5" i="1" l="1"/>
  <c r="D5" i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<sst xmlns="http://schemas.openxmlformats.org/spreadsheetml/2006/main" count="36" uniqueCount="31">
  <si>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</si>
  <si>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</si>
  <si>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</si>
  <si>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</si>
  <si>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</si>
  <si>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</si>
  <si>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</si>
  <si>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</si>
  <si>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</si>
  <si>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</si>
  <si>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</si>
  <si>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</si>
  <si>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</si>
  <si>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</si>
  <si>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</si>
  <si>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</si>
  <si>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</si>
  <si>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</si>
  <si>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</si>
  <si>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</si>
  <si>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</si>
  <si>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</si>
  <si>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</si>
  <si>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</si>
  <si>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</si>
  <si>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</si>
  <si>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</si>
  <si>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</si>
  <si>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</si>
  <si>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YellowHead</t>
    <phoneticPr fontId="1"/>
  </si>
  <si>
    <t>BlueHead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</si>
</sst>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F5" totalsRowCount="1">
  <autoFilter ref="B2:F4"/>
  <tableColumns count="5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4" name="当たり判定の大きさ" totalsRowFunction="custom">
      <totalsRowFormula>SUBTOTAL(101,Sheet1!$F$3:$F$4)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6" width="23.5" bestFit="1" customWidth="1"/>
    <col min="7" max="7" width="22.7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x14ac:dyDescent="0.4">
      <c r="A1" t="s">
        <v>26</v>
      </c>
      <c r="F1" t="s">
        <v>27</v>
      </c>
    </row>
    <row r="2" spans="1:7" x14ac:dyDescent="0.4">
      <c r="B2" t="s">
        <v>17</v>
      </c>
      <c r="C2" t="s">
        <v>23</v>
      </c>
      <c r="D2" t="s">
        <v>24</v>
      </c>
      <c r="E2" t="s">
        <v>25</v>
      </c>
      <c r="F2" s="3" t="s">
        <v>28</v>
      </c>
    </row>
    <row r="3" spans="1:7" x14ac:dyDescent="0.4">
      <c r="A3" s="2" t="s">
        <v>20</v>
      </c>
      <c r="B3">
        <v>0</v>
      </c>
      <c r="C3" t="s">
        <v>29</v>
      </c>
      <c r="D3">
        <v>11</v>
      </c>
      <c r="E3">
        <v>12</v>
      </c>
      <c r="F3" s="4">
        <v>1</v>
      </c>
      <c r="G3" s="2" t="s">
        <v>18</v>
      </c>
    </row>
    <row r="4" spans="1:7" x14ac:dyDescent="0.4">
      <c r="B4">
        <v>1</v>
      </c>
      <c r="C4" t="s">
        <v>30</v>
      </c>
      <c r="D4">
        <v>21</v>
      </c>
      <c r="E4">
        <v>22</v>
      </c>
      <c r="F4">
        <v>1</v>
      </c>
    </row>
    <row r="5" spans="1:7" x14ac:dyDescent="0.4">
      <c r="A5" s="2" t="s">
        <v>21</v>
      </c>
      <c r="B5" t="s">
        <v>10</v>
      </c>
      <c r="D5">
        <f>SUBTOTAL(101,テーブル1[HP])</f>
        <v>16</v>
      </c>
      <c r="E5">
        <f>SUBTOTAL(101,テーブル1[索敵性能(範囲)])</f>
        <v>17</v>
      </c>
      <c r="F5">
        <f>SUBTOTAL(101,Sheet1!$F$3:$F$4)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2018-07-03T05:31:50Z</dcterms:modified>
</cp:coreProperties>
</file>