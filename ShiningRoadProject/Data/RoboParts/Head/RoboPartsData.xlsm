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hinkingRaflesia\Documents\GitHub\ShiningRoadProject\ShiningRoadProject\Data\RoboParts\Head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" l="1"/>
  <c r="G7" i="1" l="1"/>
  <c r="F7" i="1"/>
  <c r="J16" i="2" l="1"/>
  <c r="I16" i="2"/>
  <c r="H16" i="2"/>
  <c r="G16" i="2"/>
  <c r="F16" i="2"/>
  <c r="E7" i="1" l="1"/>
  <c r="D7" i="1"/>
</calcChain>
</file>

<file path=xl/sharedStrings.xml><?xml version="1.0" encoding="utf-8"?>
<sst xmlns="http://schemas.openxmlformats.org/spreadsheetml/2006/main" count="40" uniqueCount="35">
  <si>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</si>
  <si>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</si>
  <si>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</si>
  <si>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</si>
  <si>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</si>
  <si>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</si>
  <si>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</si>
  <si>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</si>
  <si>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</si>
  <si>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</si>
  <si>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</si>
  <si>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</si>
  <si>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</si>
  <si>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</si>
  <si>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</si>
  <si>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</si>
  <si>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</si>
  <si>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</si>
  <si>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</si>
  <si>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</si>
  <si>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</si>
  <si>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</si>
  <si>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</si>
  <si>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</si>
  <si>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索敵性能(範囲)</t>
    <rPh sb="0" eb="2">
      <t>サクテキ</t>
    </rPh>
    <rPh sb="2" eb="4">
      <t>セイノウ</t>
    </rPh>
    <rPh sb="5" eb="7">
      <t>ハンイ</t>
    </rPh>
    <phoneticPr fontId="1"/>
  </si>
  <si>
    <t>頭パーツ</t>
    <rPh sb="0" eb="1">
      <t>アタマ</t>
    </rPh>
    <phoneticPr fontId="1"/>
  </si>
  <si>
    <t>ここから隠しステータス</t>
    <rPh sb="4" eb="5">
      <t>カク</t>
    </rPh>
    <phoneticPr fontId="1"/>
  </si>
  <si>
    <t>当たり判定の大きさ</t>
    <rPh sb="0" eb="1">
      <t>ア</t>
    </rPh>
    <rPh sb="3" eb="5">
      <t>ハンテイ</t>
    </rPh>
    <rPh sb="6" eb="7">
      <t>オオ</t>
    </rPh>
    <phoneticPr fontId="1"/>
  </si>
  <si>
    <t>ロックオン速さ</t>
    <rPh sb="5" eb="6">
      <t>ハヤ</t>
    </rPh>
    <phoneticPr fontId="1"/>
  </si>
  <si>
    <t>ロックオン距離</t>
    <rPh sb="5" eb="7">
      <t>キョリ</t>
    </rPh>
    <phoneticPr fontId="1"/>
  </si>
  <si>
    <t>HD11-VIRGIOS</t>
    <phoneticPr fontId="1"/>
  </si>
  <si>
    <t>HD-01-11 DICTYON</t>
    <phoneticPr fontId="1"/>
  </si>
  <si>
    <t>AP</t>
    <phoneticPr fontId="1"/>
  </si>
  <si>
    <t>HD5-VIRGIOS</t>
    <phoneticPr fontId="1"/>
  </si>
  <si>
    <t>HD-07-2 DICTYON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</si>
</sst>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7" totalsRowCount="1">
  <autoFilter ref="B2:H6"/>
  <tableColumns count="7">
    <tableColumn id="1" name="パーツ番号(モデル名に連結)" totalsRowLabel="平均"/>
    <tableColumn id="12" name="名前(英字のみ)"/>
    <tableColumn id="2" name="AP" totalsRowFunction="average"/>
    <tableColumn id="3" name="索敵性能(範囲)" totalsRowFunction="average"/>
    <tableColumn id="6" name="ロックオン速さ" totalsRowFunction="average"/>
    <tableColumn id="5" name="ロックオン距離" totalsRowFunction="average"/>
    <tableColumn id="4" name="当たり判定の大きさ" totalsRowFunction="custom">
      <totalsRowFormula>SUBTOTAL(101,Sheet1!$H$3:$H$6)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5" bestFit="1" customWidth="1"/>
    <col min="5" max="5" width="17" bestFit="1" customWidth="1"/>
    <col min="6" max="7" width="17" customWidth="1"/>
    <col min="8" max="8" width="23.5" bestFit="1" customWidth="1"/>
    <col min="9" max="9" width="22.75" bestFit="1" customWidth="1"/>
    <col min="10" max="10" width="7.125" customWidth="1"/>
    <col min="11" max="11" width="13" bestFit="1" customWidth="1"/>
    <col min="12" max="12" width="4.25" customWidth="1"/>
    <col min="13" max="13" width="27.625" bestFit="1" customWidth="1"/>
  </cols>
  <sheetData>
    <row r="1" spans="1:9" x14ac:dyDescent="0.4">
      <c r="A1" t="s">
        <v>25</v>
      </c>
      <c r="H1" t="s">
        <v>26</v>
      </c>
    </row>
    <row r="2" spans="1:9" x14ac:dyDescent="0.4">
      <c r="B2" t="s">
        <v>17</v>
      </c>
      <c r="C2" t="s">
        <v>23</v>
      </c>
      <c r="D2" t="s">
        <v>32</v>
      </c>
      <c r="E2" t="s">
        <v>24</v>
      </c>
      <c r="F2" t="s">
        <v>28</v>
      </c>
      <c r="G2" t="s">
        <v>29</v>
      </c>
      <c r="H2" s="3" t="s">
        <v>27</v>
      </c>
    </row>
    <row r="3" spans="1:9" x14ac:dyDescent="0.4">
      <c r="A3" s="2" t="s">
        <v>20</v>
      </c>
      <c r="B3">
        <v>0</v>
      </c>
      <c r="C3" t="s">
        <v>31</v>
      </c>
      <c r="D3">
        <v>52</v>
      </c>
      <c r="E3">
        <v>36</v>
      </c>
      <c r="F3">
        <v>52</v>
      </c>
      <c r="G3">
        <v>136</v>
      </c>
      <c r="H3" s="4">
        <v>1</v>
      </c>
      <c r="I3" s="2" t="s">
        <v>18</v>
      </c>
    </row>
    <row r="4" spans="1:9" x14ac:dyDescent="0.4">
      <c r="B4">
        <v>1</v>
      </c>
      <c r="C4" t="s">
        <v>34</v>
      </c>
      <c r="D4">
        <v>72</v>
      </c>
      <c r="E4">
        <v>54</v>
      </c>
      <c r="F4">
        <v>23</v>
      </c>
      <c r="G4">
        <v>124</v>
      </c>
      <c r="H4" s="4">
        <v>1</v>
      </c>
    </row>
    <row r="5" spans="1:9" x14ac:dyDescent="0.4">
      <c r="B5">
        <v>2</v>
      </c>
      <c r="C5" t="s">
        <v>33</v>
      </c>
      <c r="D5">
        <v>12</v>
      </c>
      <c r="E5">
        <v>106</v>
      </c>
      <c r="F5">
        <v>78</v>
      </c>
      <c r="G5">
        <v>152</v>
      </c>
      <c r="H5" s="4">
        <v>2</v>
      </c>
    </row>
    <row r="6" spans="1:9" x14ac:dyDescent="0.4">
      <c r="B6">
        <v>3</v>
      </c>
      <c r="C6" t="s">
        <v>30</v>
      </c>
      <c r="D6">
        <v>6</v>
      </c>
      <c r="E6">
        <v>98</v>
      </c>
      <c r="F6">
        <v>99</v>
      </c>
      <c r="G6">
        <v>120</v>
      </c>
      <c r="H6" s="4">
        <v>1</v>
      </c>
    </row>
    <row r="7" spans="1:9" x14ac:dyDescent="0.4">
      <c r="A7" s="2" t="s">
        <v>21</v>
      </c>
      <c r="B7" t="s">
        <v>10</v>
      </c>
      <c r="D7">
        <f>SUBTOTAL(101,テーブル1[AP])</f>
        <v>35.5</v>
      </c>
      <c r="E7">
        <f>SUBTOTAL(101,テーブル1[索敵性能(範囲)])</f>
        <v>73.5</v>
      </c>
      <c r="F7">
        <f>SUBTOTAL(101,テーブル1[ロックオン速さ])</f>
        <v>63</v>
      </c>
      <c r="G7">
        <f>SUBTOTAL(101,テーブル1[ロックオン距離])</f>
        <v>133</v>
      </c>
      <c r="H7">
        <f>SUBTOTAL(101,Sheet1!$H$3:$H$6)</f>
        <v>1.25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2018-05-31T06:30:55Z</dcterms:created>
  <dcterms:modified xsi:type="dcterms:W3CDTF">2018-12-22T02:54:00Z</dcterms:modified>
</cp:coreProperties>
</file>