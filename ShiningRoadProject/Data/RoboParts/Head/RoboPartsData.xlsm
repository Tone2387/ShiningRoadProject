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F6" i="1"/>
  <c r="H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<sst xmlns="http://schemas.openxmlformats.org/spreadsheetml/2006/main" count="39" uniqueCount="34">
  <si>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</si>
  <si>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</si>
  <si>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</si>
  <si>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</si>
  <si>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</si>
  <si>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</si>
  <si>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</si>
  <si>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</si>
  <si>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</si>
  <si>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</si>
  <si>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</si>
  <si>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</si>
  <si>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</si>
  <si>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</si>
  <si>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</si>
  <si>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</si>
  <si>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</si>
  <si>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</si>
  <si>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</si>
  <si>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</si>
  <si>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</si>
  <si>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</si>
  <si>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</si>
  <si>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</si>
  <si>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</si>
  <si>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</si>
  <si>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</si>
  <si>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</si>
  <si>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</si>
  <si>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</si>
  <si>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RedHead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</si>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</sst>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6" totalsRowCount="1">
  <autoFilter ref="B2:H5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32</v>
      </c>
      <c r="G2" t="s">
        <v>33</v>
      </c>
      <c r="H2" s="3" t="s">
        <v>28</v>
      </c>
    </row>
    <row r="3" spans="1:9" x14ac:dyDescent="0.4">
      <c r="A3" s="2" t="s">
        <v>20</v>
      </c>
      <c r="B3">
        <v>0</v>
      </c>
      <c r="C3" t="s">
        <v>31</v>
      </c>
      <c r="D3">
        <v>8</v>
      </c>
      <c r="E3">
        <v>25</v>
      </c>
      <c r="F3">
        <v>26</v>
      </c>
      <c r="G3">
        <v>27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B5">
        <v>2</v>
      </c>
      <c r="C5" t="s">
        <v>30</v>
      </c>
      <c r="D5">
        <v>11</v>
      </c>
      <c r="E5">
        <v>12</v>
      </c>
      <c r="F5">
        <v>13</v>
      </c>
      <c r="G5">
        <v>14</v>
      </c>
      <c r="H5" s="4">
        <v>1</v>
      </c>
    </row>
    <row r="6" spans="1:9" x14ac:dyDescent="0.4">
      <c r="A6" s="2" t="s">
        <v>21</v>
      </c>
      <c r="B6" t="s">
        <v>10</v>
      </c>
      <c r="D6">
        <f>SUBTOTAL(101,テーブル1[HP])</f>
        <v>13.333333333333334</v>
      </c>
      <c r="E6">
        <f>SUBTOTAL(101,テーブル1[索敵性能(範囲)])</f>
        <v>19.666666666666668</v>
      </c>
      <c r="F6">
        <f>SUBTOTAL(101,テーブル1[ロックオン速さ])</f>
        <v>20.666666666666668</v>
      </c>
      <c r="G6">
        <f>SUBTOTAL(101,テーブル1[ロックオン距離])</f>
        <v>21.666666666666668</v>
      </c>
      <c r="H6">
        <f>SUBTOTAL(101,Sheet1!$H$3:$H$5)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2018-09-05T00:52:10Z</dcterms:modified>
</cp:coreProperties>
</file>