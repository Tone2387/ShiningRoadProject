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<sst xmlns="http://schemas.openxmlformats.org/spreadsheetml/2006/main" count="40" uniqueCount="35">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</sst>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1000</v>
      </c>
      <c r="E3">
        <v>2000</v>
      </c>
      <c r="F3">
        <v>100</v>
      </c>
      <c r="G3">
        <v>2000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2500</v>
      </c>
      <c r="E4">
        <v>5000</v>
      </c>
      <c r="F4">
        <v>50</v>
      </c>
      <c r="G4">
        <v>3000</v>
      </c>
      <c r="H4" s="4">
        <v>1</v>
      </c>
    </row>
    <row r="5" spans="1:9" x14ac:dyDescent="0.4">
      <c r="B5">
        <v>2</v>
      </c>
      <c r="C5" t="s">
        <v>33</v>
      </c>
      <c r="D5">
        <v>2000</v>
      </c>
      <c r="E5">
        <v>3000</v>
      </c>
      <c r="F5">
        <v>75</v>
      </c>
      <c r="G5">
        <v>2500</v>
      </c>
      <c r="H5" s="4">
        <v>2</v>
      </c>
    </row>
    <row r="6" spans="1:9" x14ac:dyDescent="0.4">
      <c r="B6">
        <v>3</v>
      </c>
      <c r="C6" t="s">
        <v>30</v>
      </c>
      <c r="D6">
        <v>1250</v>
      </c>
      <c r="E6">
        <v>15000</v>
      </c>
      <c r="F6">
        <v>25</v>
      </c>
      <c r="G6">
        <v>10000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1687.5</v>
      </c>
      <c r="E7">
        <f>SUBTOTAL(101,テーブル1[索敵性能(範囲)])</f>
        <v>6250</v>
      </c>
      <c r="F7">
        <f>SUBTOTAL(101,テーブル1[ロックオン速さ])</f>
        <v>62.5</v>
      </c>
      <c r="G7">
        <f>SUBTOTAL(101,テーブル1[ロックオン距離])</f>
        <v>4375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2019-01-22T02:00:16Z</dcterms:modified>
</cp:coreProperties>
</file>