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G5" i="1" l="1"/>
  <c r="F5" i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<sst xmlns="http://schemas.openxmlformats.org/spreadsheetml/2006/main" count="38" uniqueCount="33">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</sst>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5" totalsRowCount="1">
  <autoFilter ref="B2:H4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s="3" t="s">
        <v>28</v>
      </c>
    </row>
    <row r="3" spans="1:9" x14ac:dyDescent="0.4">
      <c r="A3" s="2" t="s">
        <v>20</v>
      </c>
      <c r="B3">
        <v>0</v>
      </c>
      <c r="C3" t="s">
        <v>30</v>
      </c>
      <c r="D3">
        <v>8</v>
      </c>
      <c r="E3">
        <v>25</v>
      </c>
      <c r="F3">
        <v>26</v>
      </c>
      <c r="G3">
        <v>27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A5" s="2" t="s">
        <v>21</v>
      </c>
      <c r="B5" t="s">
        <v>10</v>
      </c>
      <c r="D5">
        <f>SUBTOTAL(101,テーブル1[HP])</f>
        <v>14.5</v>
      </c>
      <c r="E5">
        <f>SUBTOTAL(101,テーブル1[索敵性能(範囲)])</f>
        <v>23.5</v>
      </c>
      <c r="F5">
        <f>SUBTOTAL(101,テーブル1[ロックオン速さ])</f>
        <v>24.5</v>
      </c>
      <c r="G5">
        <f>SUBTOTAL(101,テーブル1[ロックオン距離])</f>
        <v>25.5</v>
      </c>
      <c r="H5">
        <f>SUBTOTAL(101,Sheet1!$H$3:$H$4)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2018-10-11T05:11:50Z</dcterms:modified>
</cp:coreProperties>
</file>