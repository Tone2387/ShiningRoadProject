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F6" i="1" l="1"/>
  <c r="D6" i="1"/>
  <c r="E6" i="1"/>
  <c r="G6" i="1"/>
  <c r="H6" i="1"/>
  <c r="K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<sst xmlns="http://schemas.openxmlformats.org/spreadsheetml/2006/main" count="43" uniqueCount="38">
  <si>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</si>
  <si>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</si>
  <si>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</si>
  <si>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</si>
  <si>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</si>
  <si>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</si>
  <si>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</si>
  <si>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</si>
  <si>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</si>
  <si>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</si>
  <si>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</si>
  <si>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</si>
  <si>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</si>
  <si>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</si>
  <si>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</si>
  <si>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</si>
  <si>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</si>
  <si>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</si>
  <si>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</si>
  <si>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</si>
  <si>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</si>
  <si>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</si>
  <si>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</si>
  <si>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</si>
  <si>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</si>
  <si>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</si>
  <si>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</si>
  <si>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</si>
  <si>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</si>
  <si>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</si>
  <si>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</si>
  <si>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</si>
  <si>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</si>
  <si>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</si>
  <si>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</si>
  <si>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BlueCore</t>
    <phoneticPr fontId="1"/>
  </si>
  <si>
    <t>DAINOBORI CORE</t>
    <phoneticPr fontId="1"/>
  </si>
  <si>
    <t>DieDarBochiCore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</si>
</sst>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6" totalsRowCount="1">
  <autoFilter ref="B2:L5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9" name="活動限界時間" totalsRowFunction="average"/>
    <tableColumn id="14" name="当たり判定サイズ" totalsRowFunction="custom">
      <totalsRowFormula>SUBTOTAL(101,Sheet1!$L$3:$L$5)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36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37</v>
      </c>
      <c r="D5">
        <v>32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25</v>
      </c>
      <c r="L5" s="3">
        <v>2</v>
      </c>
    </row>
    <row r="6" spans="1:13" x14ac:dyDescent="0.4">
      <c r="A6" s="2" t="s">
        <v>21</v>
      </c>
      <c r="B6" t="s">
        <v>10</v>
      </c>
      <c r="D6">
        <f>SUBTOTAL(101,テーブル1[HP])</f>
        <v>26</v>
      </c>
      <c r="E6">
        <f>SUBTOTAL(101,テーブル1[EN容量])</f>
        <v>22.333333333333332</v>
      </c>
      <c r="F6">
        <f>SUBTOTAL(101,テーブル1[EN出力(回復量)])</f>
        <v>34.333333333333336</v>
      </c>
      <c r="G6">
        <f>SUBTOTAL(101,テーブル1[ブースト推力(水平)])</f>
        <v>39.666666666666664</v>
      </c>
      <c r="H6">
        <f>SUBTOTAL(101,テーブル1[ブースト消費(水平)])</f>
        <v>41.333333333333336</v>
      </c>
      <c r="K6">
        <f>SUBTOTAL(101,テーブル1[活動限界時間])</f>
        <v>19.333333333333332</v>
      </c>
      <c r="L6">
        <f>SUBTOTAL(101,Sheet1!$L$3:$L$5)</f>
        <v>1.3333333333333333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2018-11-15T05:05:17Z</dcterms:modified>
</cp:coreProperties>
</file>