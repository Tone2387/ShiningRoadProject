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men\Documents\GitHub\ShiningRoadProject\ShiningRoadProject\Data\FileData\Hiyoshi\Enemy1\"/>
    </mc:Choice>
  </mc:AlternateContent>
  <bookViews>
    <workbookView xWindow="0" yWindow="0" windowWidth="24000" windowHeight="9450"/>
  </bookViews>
  <sheets>
    <sheet name="Sheet1" sheetId="1" r:id="rId1"/>
    <sheet name="Sheet2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16" i="2" l="1"/>
  <c r="I16" i="2"/>
  <c r="H16" i="2"/>
  <c r="G16" i="2"/>
  <c r="F16" i="2"/>
</calcChain>
</file>

<file path=xl/sharedStrings.xml><?xml version="1.0" encoding="utf-8"?>
<sst xmlns="http://schemas.openxmlformats.org/spreadsheetml/2006/main" count="32" uniqueCount="28">
  <si>
    <t>ジャンプ力&lt;float&gt;</t>
    <rPh sb="4" eb="5">
      <t>リョク</t>
    </rPh>
    <phoneticPr fontId="1"/>
  </si>
  <si>
    <t>旋回性能&lt;float&gt;</t>
    <rPh sb="0" eb="2">
      <t>センカイ</t>
    </rPh>
    <rPh sb="2" eb="4">
      <t>セイノウ</t>
    </rPh>
    <phoneticPr fontId="1"/>
  </si>
  <si>
    <t>安定性能&lt;int&gt;</t>
    <rPh sb="0" eb="2">
      <t>アンテイ</t>
    </rPh>
    <rPh sb="2" eb="4">
      <t>セイノウ</t>
    </rPh>
    <phoneticPr fontId="1"/>
  </si>
  <si>
    <t>歩行速度&lt;float&gt;</t>
    <rPh sb="0" eb="2">
      <t>ホコウ</t>
    </rPh>
    <rPh sb="2" eb="4">
      <t>ソクド</t>
    </rPh>
    <phoneticPr fontId="1"/>
  </si>
  <si>
    <t>HP&lt;int&gt;</t>
    <phoneticPr fontId="1"/>
  </si>
  <si>
    <t>名前(英字のみ)&lt;string&gt;</t>
    <rPh sb="0" eb="2">
      <t>ナマエ</t>
    </rPh>
    <rPh sb="3" eb="5">
      <t>エイジ</t>
    </rPh>
    <phoneticPr fontId="1"/>
  </si>
  <si>
    <t>legman</t>
    <phoneticPr fontId="1"/>
  </si>
  <si>
    <t>legmen</t>
    <phoneticPr fontId="1"/>
  </si>
  <si>
    <t>legboy</t>
    <phoneticPr fontId="1"/>
  </si>
  <si>
    <t>legGG</t>
    <phoneticPr fontId="1"/>
  </si>
  <si>
    <t>平均</t>
    <rPh sb="0" eb="2">
      <t>ヘイキン</t>
    </rPh>
    <phoneticPr fontId="1"/>
  </si>
  <si>
    <t>開始の印</t>
    <rPh sb="0" eb="2">
      <t>カイシ</t>
    </rPh>
    <rPh sb="3" eb="4">
      <t>シルシ</t>
    </rPh>
    <phoneticPr fontId="1"/>
  </si>
  <si>
    <t>項目数の印</t>
    <rPh sb="0" eb="2">
      <t>コウモク</t>
    </rPh>
    <rPh sb="2" eb="3">
      <t>スウ</t>
    </rPh>
    <rPh sb="4" eb="5">
      <t>シルシ</t>
    </rPh>
    <phoneticPr fontId="1"/>
  </si>
  <si>
    <t>パーツ数の印</t>
    <rPh sb="3" eb="4">
      <t>カズ</t>
    </rPh>
    <rPh sb="5" eb="6">
      <t>シルシ</t>
    </rPh>
    <phoneticPr fontId="1"/>
  </si>
  <si>
    <t>マクロで使うもの</t>
    <rPh sb="4" eb="5">
      <t>ツカ</t>
    </rPh>
    <phoneticPr fontId="1"/>
  </si>
  <si>
    <t>_DATA_STATUS_END_</t>
    <phoneticPr fontId="1"/>
  </si>
  <si>
    <t>_DATA_PARTS_NUM_END_</t>
    <phoneticPr fontId="1"/>
  </si>
  <si>
    <t>パーツ番号(モデル名に連結)</t>
    <rPh sb="3" eb="5">
      <t>バンゴウ</t>
    </rPh>
    <rPh sb="9" eb="10">
      <t>メイ</t>
    </rPh>
    <rPh sb="11" eb="13">
      <t>レンケツ</t>
    </rPh>
    <phoneticPr fontId="1"/>
  </si>
  <si>
    <t>_DATA_STATUS_END_</t>
    <phoneticPr fontId="1"/>
  </si>
  <si>
    <t>_DATA_START_POINT_</t>
    <phoneticPr fontId="1"/>
  </si>
  <si>
    <t>_DATA_START_POINT_</t>
    <phoneticPr fontId="1"/>
  </si>
  <si>
    <t>_DATA_PARTS_NUM_END_</t>
    <phoneticPr fontId="1"/>
  </si>
  <si>
    <t>使用例</t>
    <rPh sb="0" eb="2">
      <t>シヨウ</t>
    </rPh>
    <rPh sb="2" eb="3">
      <t>レイ</t>
    </rPh>
    <phoneticPr fontId="1"/>
  </si>
  <si>
    <t>敵の情報</t>
    <rPh sb="0" eb="1">
      <t>テキ</t>
    </rPh>
    <rPh sb="2" eb="4">
      <t>ジョウホウ</t>
    </rPh>
    <phoneticPr fontId="1"/>
  </si>
  <si>
    <t>パーツ番号</t>
    <rPh sb="3" eb="5">
      <t>バンゴウ</t>
    </rPh>
    <phoneticPr fontId="1"/>
  </si>
  <si>
    <t>実行間隔</t>
    <rPh sb="0" eb="4">
      <t>ジッコウカンカク</t>
    </rPh>
    <phoneticPr fontId="1"/>
  </si>
  <si>
    <t>実行可能EN率</t>
    <rPh sb="0" eb="2">
      <t>ジッコウ</t>
    </rPh>
    <rPh sb="2" eb="4">
      <t>カノウ</t>
    </rPh>
    <rPh sb="6" eb="7">
      <t>リツ</t>
    </rPh>
    <phoneticPr fontId="1"/>
  </si>
  <si>
    <t>実行最低角度</t>
    <rPh sb="0" eb="2">
      <t>ジッコウ</t>
    </rPh>
    <rPh sb="2" eb="4">
      <t>サイテイ</t>
    </rPh>
    <rPh sb="4" eb="6">
      <t>カクド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</si>
</sst>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0" xfId="0" applyBorder="1">
      <alignment vertical="center"/>
    </xf>
    <xf numFmtId="176" fontId="0" fillId="0" borderId="0" xfId="0" applyNumberFormat="1">
      <alignment vertical="center"/>
    </xf>
    <xf numFmtId="0" fontId="0" fillId="0" borderId="0" xfId="0" applyAlignment="1"/>
  </cellXfs>
  <cellStyles count="1">
    <cellStyle name="標準" xfId="0" builtinId="0"/>
  </cellStyles>
  <dxfs count="3">
    <dxf>
      <alignment horizontal="general" vertical="bottom" textRotation="0" wrapText="0" indent="0" justifyLastLine="0" shrinkToFit="0" readingOrder="0"/>
    </dxf>
    <dxf>
      <alignment horizontal="general" vertical="bottom" textRotation="0" wrapText="0" indent="0" justifyLastLine="0" shrinkToFit="0" readingOrder="0"/>
    </dxf>
    <dxf>
      <numFmt numFmtId="0" formatCode="General"/>
      <alignment horizontal="general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22412</xdr:colOff>
      <xdr:row>8</xdr:row>
      <xdr:rowOff>190499</xdr:rowOff>
    </xdr:from>
    <xdr:to>
      <xdr:col>0</xdr:col>
      <xdr:colOff>2050677</xdr:colOff>
      <xdr:row>14</xdr:row>
      <xdr:rowOff>0</xdr:rowOff>
    </xdr:to>
    <xdr:sp macro="[0]!表から数値をCSVに変換する" textlink="">
      <xdr:nvSpPr>
        <xdr:cNvPr id="2" name="角丸四角形 1"/>
        <xdr:cNvSpPr/>
      </xdr:nvSpPr>
      <xdr:spPr>
        <a:xfrm>
          <a:off x="22412" y="2779058"/>
          <a:ext cx="2028265" cy="1221442"/>
        </a:xfrm>
        <a:prstGeom prst="roundRect">
          <a:avLst/>
        </a:prstGeom>
        <a:ln>
          <a:solidFill>
            <a:schemeClr val="tx1">
              <a:lumMod val="95000"/>
              <a:lumOff val="5000"/>
            </a:schemeClr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2400"/>
            <a:t>CSV</a:t>
          </a:r>
          <a:r>
            <a:rPr kumimoji="1" lang="ja-JP" altLang="en-US" sz="2400"/>
            <a:t>吐き出し</a:t>
          </a:r>
          <a:endParaRPr kumimoji="1" lang="en-US" altLang="ja-JP" sz="2400"/>
        </a:p>
        <a:p>
          <a:pPr algn="ctr"/>
          <a:r>
            <a:rPr kumimoji="1" lang="en-US" altLang="ja-JP" sz="2400"/>
            <a:t>( Ctrl + S )</a:t>
          </a:r>
          <a:endParaRPr kumimoji="1" lang="ja-JP" altLang="en-US" sz="2400"/>
        </a:p>
      </xdr:txBody>
    </xdr:sp>
    <xdr:clientData/>
  </xdr:twoCellAnchor>
</xdr:wsDr>
</file>

<file path=xl/tables/table1.xml><?xml version="1.0" encoding="utf-8"?>
<table xmlns="http://schemas.openxmlformats.org/spreadsheetml/2006/main" id="1" name="テーブル1" displayName="テーブル1" ref="B2:D4" totalsRowCount="1">
  <autoFilter ref="B2:D3"/>
  <tableColumns count="3">
    <tableColumn id="1" name="実行間隔" totalsRowLabel="平均" dataDxfId="2"/>
    <tableColumn id="7" name="実行最低角度" dataDxfId="1"/>
    <tableColumn id="6" name="実行可能EN率" dataDxfId="0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テーブル13" displayName="テーブル13" ref="D11:J16" totalsRowCount="1">
  <autoFilter ref="D11:J15"/>
  <tableColumns count="7">
    <tableColumn id="1" name="パーツ番号(モデル名に連結)" totalsRowLabel="平均"/>
    <tableColumn id="12" name="名前(英字のみ)&lt;string&gt;"/>
    <tableColumn id="2" name="HP&lt;int&gt;" totalsRowFunction="average"/>
    <tableColumn id="3" name="歩行速度&lt;float&gt;" totalsRowFunction="average"/>
    <tableColumn id="4" name="安定性能&lt;int&gt;" totalsRowFunction="average"/>
    <tableColumn id="5" name="旋回性能&lt;float&gt;" totalsRowFunction="average"/>
    <tableColumn id="11" name="ジャンプ力&lt;float&gt;" totalsRowFunction="average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4"/>
  <sheetViews>
    <sheetView tabSelected="1" zoomScaleNormal="100" workbookViewId="0">
      <selection activeCell="B4" sqref="B4"/>
    </sheetView>
  </sheetViews>
  <sheetFormatPr defaultRowHeight="18.75" x14ac:dyDescent="0.4"/>
  <cols>
    <col min="1" max="1" width="27.625" bestFit="1" customWidth="1"/>
    <col min="2" max="2" width="11.25" bestFit="1" customWidth="1"/>
    <col min="3" max="3" width="15.25" bestFit="1" customWidth="1"/>
    <col min="4" max="4" width="16.25" bestFit="1" customWidth="1"/>
    <col min="5" max="5" width="11.5" customWidth="1"/>
    <col min="6" max="6" width="12.75" style="3" customWidth="1"/>
    <col min="7" max="7" width="36.125" style="3" bestFit="1" customWidth="1"/>
    <col min="8" max="8" width="3.75" bestFit="1" customWidth="1"/>
    <col min="9" max="9" width="40.75" bestFit="1" customWidth="1"/>
    <col min="10" max="10" width="27.125" customWidth="1"/>
  </cols>
  <sheetData>
    <row r="1" spans="1:5" x14ac:dyDescent="0.4">
      <c r="A1" t="s">
        <v>23</v>
      </c>
      <c r="B1" t="s">
        <v>24</v>
      </c>
    </row>
    <row r="2" spans="1:5" x14ac:dyDescent="0.4">
      <c r="B2" t="s">
        <v>25</v>
      </c>
      <c r="C2" t="s">
        <v>27</v>
      </c>
      <c r="D2" t="s">
        <v>26</v>
      </c>
    </row>
    <row r="3" spans="1:5" x14ac:dyDescent="0.4">
      <c r="A3" s="2" t="s">
        <v>20</v>
      </c>
      <c r="B3" s="4">
        <v>120</v>
      </c>
      <c r="C3" s="4">
        <v>150</v>
      </c>
      <c r="D3" s="4">
        <v>30</v>
      </c>
      <c r="E3" s="2" t="s">
        <v>18</v>
      </c>
    </row>
    <row r="4" spans="1:5" x14ac:dyDescent="0.4">
      <c r="A4" s="2" t="s">
        <v>21</v>
      </c>
      <c r="B4" t="s">
        <v>10</v>
      </c>
    </row>
  </sheetData>
  <phoneticPr fontId="1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K16"/>
  <sheetViews>
    <sheetView workbookViewId="0">
      <selection activeCell="B3" sqref="B3"/>
    </sheetView>
  </sheetViews>
  <sheetFormatPr defaultRowHeight="18.75" x14ac:dyDescent="0.4"/>
  <cols>
    <col min="1" max="1" width="17.25" bestFit="1" customWidth="1"/>
    <col min="2" max="2" width="3.5" customWidth="1"/>
    <col min="3" max="3" width="27.625" bestFit="1" customWidth="1"/>
  </cols>
  <sheetData>
    <row r="1" spans="1:11" x14ac:dyDescent="0.4">
      <c r="A1" t="s">
        <v>14</v>
      </c>
    </row>
    <row r="2" spans="1:11" x14ac:dyDescent="0.4">
      <c r="A2" s="1" t="s">
        <v>11</v>
      </c>
      <c r="C2" s="2" t="s">
        <v>19</v>
      </c>
    </row>
    <row r="3" spans="1:11" x14ac:dyDescent="0.4">
      <c r="A3" s="1" t="s">
        <v>12</v>
      </c>
      <c r="C3" s="2" t="s">
        <v>15</v>
      </c>
    </row>
    <row r="4" spans="1:11" x14ac:dyDescent="0.4">
      <c r="A4" s="1" t="s">
        <v>13</v>
      </c>
      <c r="C4" s="2" t="s">
        <v>16</v>
      </c>
    </row>
    <row r="10" spans="1:11" x14ac:dyDescent="0.4">
      <c r="C10" t="s">
        <v>22</v>
      </c>
    </row>
    <row r="11" spans="1:11" x14ac:dyDescent="0.4">
      <c r="D11" t="s">
        <v>17</v>
      </c>
      <c r="E11" t="s">
        <v>5</v>
      </c>
      <c r="F11" t="s">
        <v>4</v>
      </c>
      <c r="G11" t="s">
        <v>3</v>
      </c>
      <c r="H11" t="s">
        <v>2</v>
      </c>
      <c r="I11" t="s">
        <v>1</v>
      </c>
      <c r="J11" t="s">
        <v>0</v>
      </c>
    </row>
    <row r="12" spans="1:11" x14ac:dyDescent="0.4">
      <c r="C12" s="2" t="s">
        <v>19</v>
      </c>
      <c r="D12">
        <v>0</v>
      </c>
      <c r="E12" t="s">
        <v>6</v>
      </c>
      <c r="F12">
        <v>12</v>
      </c>
      <c r="G12">
        <v>2.2000000000000002</v>
      </c>
      <c r="H12">
        <v>5</v>
      </c>
      <c r="I12">
        <v>2.2000000000000002</v>
      </c>
      <c r="J12">
        <v>2.2000000000000002</v>
      </c>
      <c r="K12" s="2" t="s">
        <v>15</v>
      </c>
    </row>
    <row r="13" spans="1:11" x14ac:dyDescent="0.4">
      <c r="D13">
        <v>1</v>
      </c>
      <c r="E13" t="s">
        <v>7</v>
      </c>
      <c r="F13">
        <v>14</v>
      </c>
      <c r="G13">
        <v>5.5</v>
      </c>
      <c r="H13">
        <v>4</v>
      </c>
      <c r="I13">
        <v>4.5</v>
      </c>
      <c r="J13">
        <v>4.4000000000000004</v>
      </c>
    </row>
    <row r="14" spans="1:11" x14ac:dyDescent="0.4">
      <c r="D14">
        <v>2</v>
      </c>
      <c r="E14" t="s">
        <v>8</v>
      </c>
      <c r="F14">
        <v>34</v>
      </c>
      <c r="G14">
        <v>7.7</v>
      </c>
      <c r="H14">
        <v>9</v>
      </c>
      <c r="I14">
        <v>6.1</v>
      </c>
      <c r="J14">
        <v>5.5</v>
      </c>
    </row>
    <row r="15" spans="1:11" x14ac:dyDescent="0.4">
      <c r="D15">
        <v>3</v>
      </c>
      <c r="E15" t="s">
        <v>9</v>
      </c>
      <c r="F15">
        <v>3</v>
      </c>
      <c r="G15">
        <v>2.2999999999999998</v>
      </c>
      <c r="H15">
        <v>5</v>
      </c>
      <c r="I15">
        <v>4.7</v>
      </c>
      <c r="J15">
        <v>7.7</v>
      </c>
    </row>
    <row r="16" spans="1:11" x14ac:dyDescent="0.4">
      <c r="C16" s="2" t="s">
        <v>21</v>
      </c>
      <c r="D16" t="s">
        <v>10</v>
      </c>
      <c r="F16">
        <f>SUBTOTAL(101,テーブル13[HP&lt;int&gt;])</f>
        <v>15.75</v>
      </c>
      <c r="G16">
        <f>SUBTOTAL(101,テーブル13[歩行速度&lt;float&gt;])</f>
        <v>4.4249999999999998</v>
      </c>
      <c r="H16">
        <f>SUBTOTAL(101,テーブル13[安定性能&lt;int&gt;])</f>
        <v>5.75</v>
      </c>
      <c r="I16">
        <f>SUBTOTAL(101,テーブル13[旋回性能&lt;float&gt;])</f>
        <v>4.375</v>
      </c>
      <c r="J16">
        <f>SUBTOTAL(101,テーブル13[ジャンプ力&lt;float&gt;])</f>
        <v>4.95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men</dc:creator>
  <cp:lastModifiedBy>men</cp:lastModifiedBy>
  <dcterms:created xsi:type="dcterms:W3CDTF">2018-05-31T06:30:55Z</dcterms:created>
  <dcterms:modified xsi:type="dcterms:W3CDTF">2018-11-12T05:03:35Z</dcterms:modified>
</cp:coreProperties>
</file>