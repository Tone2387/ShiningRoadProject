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B14" i="1"/>
  <c r="D8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<sst xmlns="http://schemas.openxmlformats.org/spreadsheetml/2006/main" count="82" uniqueCount="68">
  <si>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</si>
  <si>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</si>
  <si>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</si>
  <si>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</si>
  <si>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</si>
  <si>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</si>
  <si>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</si>
  <si>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</si>
  <si>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</si>
  <si>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</si>
  <si>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</si>
  <si>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</si>
  <si>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</si>
  <si>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</si>
  <si>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</si>
  <si>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</si>
  <si>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</si>
  <si>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</si>
  <si>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</si>
  <si>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</si>
  <si>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</si>
  <si>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</si>
  <si>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</si>
  <si>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</si>
  <si>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</si>
  <si>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</si>
  <si>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</si>
  <si>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</si>
  <si>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</si>
  <si>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</si>
  <si>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</si>
  <si>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</si>
  <si>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</si>
  <si>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</si>
  <si>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</si>
  <si>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</si>
  <si>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</si>
  <si>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</si>
  <si>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</si>
  <si>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</si>
  <si>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</si>
  <si>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</si>
  <si>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</si>
  <si>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</si>
  <si>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</si>
  <si>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</si>
  <si>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</si>
  <si>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</si>
  <si>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</si>
  <si>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</si>
  <si>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</si>
  <si>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</si>
  <si>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</si>
  <si>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</si>
  <si>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</si>
  <si>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</si>
  <si>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</si>
  <si>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</si>
  <si>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開くフレーム数</t>
    <rPh sb="0" eb="1">
      <t>ヒラ</t>
    </rPh>
    <rPh sb="6" eb="7">
      <t>スウ</t>
    </rPh>
    <phoneticPr fontId="1"/>
  </si>
  <si>
    <t>floatの許容誤差</t>
    <rPh sb="6" eb="8">
      <t>キョヨウ</t>
    </rPh>
    <rPh sb="8" eb="10">
      <t>ゴサ</t>
    </rPh>
    <phoneticPr fontId="1"/>
  </si>
  <si>
    <t>敵下降速度</t>
    <rPh sb="0" eb="1">
      <t>テキ</t>
    </rPh>
    <rPh sb="1" eb="3">
      <t>カコウ</t>
    </rPh>
    <rPh sb="3" eb="5">
      <t>ソクド</t>
    </rPh>
    <phoneticPr fontId="1"/>
  </si>
  <si>
    <t>自機速度</t>
    <rPh sb="0" eb="2">
      <t>ジキ</t>
    </rPh>
    <rPh sb="2" eb="4">
      <t>ソクド</t>
    </rPh>
    <phoneticPr fontId="1"/>
  </si>
  <si>
    <t>カメラ速度</t>
    <rPh sb="3" eb="5">
      <t>ソクド</t>
    </rPh>
    <phoneticPr fontId="1"/>
  </si>
  <si>
    <t>着地座標</t>
    <rPh sb="0" eb="2">
      <t>チャクチ</t>
    </rPh>
    <rPh sb="2" eb="4">
      <t>ザヒョウ</t>
    </rPh>
    <phoneticPr fontId="1"/>
  </si>
  <si>
    <t>ジャンプ終了アニメ番号</t>
    <rPh sb="4" eb="6">
      <t>シュウリョウ</t>
    </rPh>
    <rPh sb="9" eb="11">
      <t>バンゴウ</t>
    </rPh>
    <phoneticPr fontId="1"/>
  </si>
  <si>
    <t>敵が構えるフレーム</t>
    <rPh sb="0" eb="1">
      <t>テキ</t>
    </rPh>
    <rPh sb="2" eb="3">
      <t>カマ</t>
    </rPh>
    <phoneticPr fontId="1"/>
  </si>
  <si>
    <t>自機速度</t>
    <rPh sb="0" eb="2">
      <t>ジキ</t>
    </rPh>
    <rPh sb="2" eb="4">
      <t>ソクド</t>
    </rPh>
    <phoneticPr fontId="1"/>
  </si>
  <si>
    <t>カメラと頭との差</t>
    <rPh sb="4" eb="5">
      <t>アタマ</t>
    </rPh>
    <rPh sb="7" eb="8">
      <t>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</si>
</sst>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6" totalsRowCount="1">
  <autoFilter ref="B2:E15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1" x14ac:dyDescent="0.4">
      <c r="A1" t="s">
        <v>37</v>
      </c>
    </row>
    <row r="2" spans="1:11" ht="19.5" thickBot="1" x14ac:dyDescent="0.45">
      <c r="B2" t="s">
        <v>38</v>
      </c>
      <c r="C2" t="s">
        <v>39</v>
      </c>
      <c r="D2" t="s">
        <v>40</v>
      </c>
      <c r="E2" t="s">
        <v>41</v>
      </c>
      <c r="G2" s="21" t="s">
        <v>23</v>
      </c>
      <c r="H2" s="4" t="s">
        <v>42</v>
      </c>
    </row>
    <row r="3" spans="1:11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43</v>
      </c>
    </row>
    <row r="4" spans="1:11" x14ac:dyDescent="0.4">
      <c r="A4" s="2"/>
      <c r="B4">
        <v>1.25</v>
      </c>
      <c r="C4" s="7">
        <v>0</v>
      </c>
      <c r="D4" s="7">
        <v>0</v>
      </c>
      <c r="E4" s="7">
        <v>0</v>
      </c>
      <c r="F4" s="2"/>
      <c r="G4" s="23" t="s">
        <v>33</v>
      </c>
      <c r="H4" s="6" t="s">
        <v>44</v>
      </c>
    </row>
    <row r="5" spans="1:11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45</v>
      </c>
      <c r="I5" t="s">
        <v>46</v>
      </c>
    </row>
    <row r="6" spans="1:11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45</v>
      </c>
      <c r="I6" t="s">
        <v>49</v>
      </c>
    </row>
    <row r="7" spans="1:11" x14ac:dyDescent="0.4">
      <c r="A7" s="2"/>
      <c r="B7">
        <v>0</v>
      </c>
      <c r="C7" s="7">
        <v>0</v>
      </c>
      <c r="D7" s="7">
        <v>0</v>
      </c>
      <c r="E7" s="7">
        <v>0</v>
      </c>
      <c r="F7" s="2"/>
      <c r="G7" s="24" t="s">
        <v>35</v>
      </c>
      <c r="H7" s="6"/>
    </row>
    <row r="8" spans="1:11" x14ac:dyDescent="0.4">
      <c r="A8" s="2"/>
      <c r="B8">
        <v>3.1250000000000002E-3</v>
      </c>
      <c r="C8" s="7">
        <v>-0.125</v>
      </c>
      <c r="D8">
        <f>(-0.125+0.000625)</f>
        <v>-0.124375</v>
      </c>
      <c r="E8" s="7">
        <v>0.125</v>
      </c>
      <c r="F8" s="2"/>
      <c r="G8" s="24" t="s">
        <v>26</v>
      </c>
      <c r="H8" s="6" t="s">
        <v>47</v>
      </c>
      <c r="I8" t="s">
        <v>48</v>
      </c>
      <c r="J8" t="s">
        <v>50</v>
      </c>
      <c r="K8" t="s">
        <v>51</v>
      </c>
    </row>
    <row r="9" spans="1:11" x14ac:dyDescent="0.4">
      <c r="A9" s="2"/>
      <c r="B9">
        <v>0.5</v>
      </c>
      <c r="C9" s="7">
        <v>3.2499999999999999E-3</v>
      </c>
      <c r="D9" s="7">
        <v>-6.2500000000000003E-3</v>
      </c>
      <c r="E9" s="7">
        <v>0</v>
      </c>
      <c r="F9" s="2"/>
      <c r="G9" s="24" t="s">
        <v>34</v>
      </c>
      <c r="H9" s="6" t="s">
        <v>52</v>
      </c>
      <c r="I9" t="s">
        <v>43</v>
      </c>
      <c r="J9" t="s">
        <v>53</v>
      </c>
    </row>
    <row r="10" spans="1:11" x14ac:dyDescent="0.4">
      <c r="A10" s="2"/>
      <c r="B10">
        <v>0.5</v>
      </c>
      <c r="C10" s="7">
        <v>6.2500000000000003E-3</v>
      </c>
      <c r="D10" s="7">
        <v>180</v>
      </c>
      <c r="E10" s="7">
        <v>6.25E-2</v>
      </c>
      <c r="F10" s="2"/>
      <c r="G10" s="25" t="s">
        <v>24</v>
      </c>
      <c r="H10" s="6" t="s">
        <v>52</v>
      </c>
      <c r="I10" t="s">
        <v>54</v>
      </c>
      <c r="J10" t="s">
        <v>58</v>
      </c>
      <c r="K10" t="s">
        <v>59</v>
      </c>
    </row>
    <row r="11" spans="1:11" x14ac:dyDescent="0.4">
      <c r="A11" s="2"/>
      <c r="B11">
        <v>0.125</v>
      </c>
      <c r="C11" s="7">
        <v>0</v>
      </c>
      <c r="D11" s="7">
        <v>0</v>
      </c>
      <c r="E11" s="7">
        <v>0</v>
      </c>
      <c r="F11" s="2"/>
      <c r="G11" s="23" t="s">
        <v>25</v>
      </c>
      <c r="H11" s="6" t="s">
        <v>52</v>
      </c>
    </row>
    <row r="12" spans="1:11" x14ac:dyDescent="0.4">
      <c r="A12" s="2"/>
      <c r="B12" s="7">
        <v>-3.125E-2</v>
      </c>
      <c r="C12" s="7">
        <v>0.25</v>
      </c>
      <c r="D12" s="7">
        <v>160</v>
      </c>
      <c r="E12" s="7">
        <v>0</v>
      </c>
      <c r="F12" s="2"/>
      <c r="G12" s="24" t="s">
        <v>55</v>
      </c>
      <c r="H12" s="6" t="s">
        <v>60</v>
      </c>
      <c r="I12" t="s">
        <v>61</v>
      </c>
      <c r="J12" t="s">
        <v>65</v>
      </c>
    </row>
    <row r="13" spans="1:11" x14ac:dyDescent="0.4">
      <c r="A13" s="2"/>
      <c r="B13" s="7">
        <v>-7.5312499999999998E-3</v>
      </c>
      <c r="C13" s="7">
        <v>1.0499999999999999E-3</v>
      </c>
      <c r="D13" s="7">
        <v>12</v>
      </c>
      <c r="E13" s="7">
        <v>0</v>
      </c>
      <c r="F13" s="2"/>
      <c r="G13" s="24" t="s">
        <v>28</v>
      </c>
      <c r="H13" s="6" t="s">
        <v>60</v>
      </c>
      <c r="I13" t="s">
        <v>63</v>
      </c>
      <c r="J13" t="s">
        <v>64</v>
      </c>
    </row>
    <row r="14" spans="1:11" x14ac:dyDescent="0.4">
      <c r="A14" s="2"/>
      <c r="B14">
        <f>(0.0125*0.0125)</f>
        <v>1.5625000000000003E-4</v>
      </c>
      <c r="C14" s="7">
        <v>-0.25</v>
      </c>
      <c r="D14" s="7">
        <v>0</v>
      </c>
      <c r="E14" s="7">
        <v>0</v>
      </c>
      <c r="F14" s="2"/>
      <c r="G14" s="24" t="s">
        <v>56</v>
      </c>
      <c r="H14" s="6" t="s">
        <v>62</v>
      </c>
      <c r="I14" t="s">
        <v>67</v>
      </c>
    </row>
    <row r="15" spans="1:11" ht="19.5" thickBot="1" x14ac:dyDescent="0.45">
      <c r="A15" s="2"/>
      <c r="B15" s="7">
        <f>-(B14)</f>
        <v>-1.5625000000000003E-4</v>
      </c>
      <c r="C15" s="7">
        <v>0.25</v>
      </c>
      <c r="D15" s="7">
        <v>0.5</v>
      </c>
      <c r="E15" s="7">
        <v>0</v>
      </c>
      <c r="F15" s="2"/>
      <c r="G15" s="26" t="s">
        <v>57</v>
      </c>
      <c r="H15" s="6" t="s">
        <v>62</v>
      </c>
      <c r="I15" t="s">
        <v>67</v>
      </c>
      <c r="J15" t="s">
        <v>66</v>
      </c>
    </row>
    <row r="16" spans="1:11" x14ac:dyDescent="0.4">
      <c r="A16" s="2" t="s">
        <v>21</v>
      </c>
    </row>
    <row r="17" spans="2:7" x14ac:dyDescent="0.4">
      <c r="B17" t="s">
        <v>30</v>
      </c>
      <c r="C17" t="s">
        <v>31</v>
      </c>
    </row>
    <row r="18" spans="2:7" x14ac:dyDescent="0.4">
      <c r="B18">
        <v>400</v>
      </c>
      <c r="C18">
        <v>250</v>
      </c>
    </row>
    <row r="23" spans="2:7" ht="19.5" thickBot="1" x14ac:dyDescent="0.45"/>
    <row r="24" spans="2:7" x14ac:dyDescent="0.4">
      <c r="B24" s="8">
        <v>-450</v>
      </c>
      <c r="C24" s="9">
        <v>0</v>
      </c>
      <c r="D24" s="9">
        <v>0</v>
      </c>
      <c r="E24" s="9">
        <v>0</v>
      </c>
      <c r="F24" s="10"/>
      <c r="G24" s="11" t="s">
        <v>24</v>
      </c>
    </row>
    <row r="25" spans="2:7" x14ac:dyDescent="0.4">
      <c r="B25" s="12">
        <v>-255</v>
      </c>
      <c r="C25" s="13">
        <v>0</v>
      </c>
      <c r="D25" s="13">
        <v>0</v>
      </c>
      <c r="E25" s="13">
        <v>0</v>
      </c>
      <c r="F25" s="2"/>
      <c r="G25" s="14" t="s">
        <v>25</v>
      </c>
    </row>
    <row r="26" spans="2:7" x14ac:dyDescent="0.4">
      <c r="B26" s="15">
        <v>-240</v>
      </c>
      <c r="C26" s="13">
        <v>0</v>
      </c>
      <c r="D26" s="13">
        <v>0</v>
      </c>
      <c r="E26" s="13">
        <v>0</v>
      </c>
      <c r="F26" s="2"/>
      <c r="G26" s="16" t="s">
        <v>27</v>
      </c>
    </row>
    <row r="27" spans="2:7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26</v>
      </c>
    </row>
    <row r="28" spans="2:7" x14ac:dyDescent="0.4">
      <c r="B28" s="15">
        <v>-240</v>
      </c>
      <c r="C28" s="13">
        <v>0</v>
      </c>
      <c r="D28" s="13">
        <v>0</v>
      </c>
      <c r="E28" s="13">
        <v>10</v>
      </c>
      <c r="F28" s="2"/>
      <c r="G28" s="16" t="s">
        <v>28</v>
      </c>
    </row>
    <row r="29" spans="2:7" ht="19.5" thickBot="1" x14ac:dyDescent="0.45">
      <c r="B29" s="17">
        <v>-10</v>
      </c>
      <c r="C29" s="18">
        <v>0</v>
      </c>
      <c r="D29" s="18">
        <v>0</v>
      </c>
      <c r="E29" s="18">
        <v>10</v>
      </c>
      <c r="F29" s="19"/>
      <c r="G29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2019-01-09T01:56:09Z</dcterms:modified>
</cp:coreProperties>
</file>