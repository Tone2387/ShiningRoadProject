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N8" i="1"/>
  <c r="B16" i="1" l="1"/>
  <c r="B1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<sst xmlns="http://schemas.openxmlformats.org/spreadsheetml/2006/main" count="87" uniqueCount="72">
  <si>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</si>
  <si>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</si>
  <si>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</si>
  <si>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</si>
  <si>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</si>
  <si>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</si>
  <si>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</si>
  <si>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</si>
  <si>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</si>
  <si>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</si>
  <si>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</si>
  <si>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</si>
  <si>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</si>
  <si>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</si>
  <si>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</si>
  <si>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</si>
  <si>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</si>
  <si>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</si>
  <si>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</si>
  <si>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</si>
  <si>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</si>
  <si>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</si>
  <si>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</si>
  <si>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</si>
  <si>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</si>
  <si>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</si>
  <si>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</si>
  <si>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</si>
  <si>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</si>
  <si>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</si>
  <si>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</si>
  <si>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</si>
  <si>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</si>
  <si>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</si>
  <si>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</si>
  <si>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</si>
  <si>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</si>
  <si>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</si>
  <si>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</si>
  <si>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</si>
  <si>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</si>
  <si>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</si>
  <si>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</si>
  <si>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</si>
  <si>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</si>
  <si>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</si>
  <si>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</si>
  <si>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</si>
  <si>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</si>
  <si>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</si>
  <si>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</si>
  <si>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</si>
  <si>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</si>
  <si>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</si>
  <si>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</si>
  <si>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</si>
  <si>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</si>
  <si>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</si>
  <si>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</si>
  <si>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</si>
  <si>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</si>
  <si>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</si>
  <si>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</si>
  <si>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</si>
  <si>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</si>
  <si>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</si>
  <si>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</si>
  <si>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</si>
  <si>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</si>
  <si>
    <t>効果音フレーム数</t>
    <rPh sb="0" eb="3">
      <t>コウカオン</t>
    </rPh>
    <rPh sb="7" eb="8">
      <t>スウ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</si>
  <si>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</si>
  <si>
    <t>次のカットの通り過ぎSEを鳴らすフレーム</t>
    <rPh sb="0" eb="1">
      <t>ツギ</t>
    </rPh>
    <rPh sb="6" eb="7">
      <t>トオ</t>
    </rPh>
    <rPh sb="8" eb="9">
      <t>ス</t>
    </rPh>
    <rPh sb="13" eb="14">
      <t>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</si>
</sst>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0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7" totalsRowCount="1">
  <autoFilter ref="B2:E16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0"/>
  <sheetViews>
    <sheetView tabSelected="1" topLeftCell="A8" zoomScale="70" zoomScaleNormal="70" workbookViewId="0">
      <selection activeCell="B17" sqref="B17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60</v>
      </c>
      <c r="D4" s="7">
        <v>0</v>
      </c>
      <c r="E4" s="7">
        <v>0</v>
      </c>
      <c r="F4" s="2"/>
      <c r="G4" s="23" t="s">
        <v>33</v>
      </c>
      <c r="H4" s="6" t="s">
        <v>44</v>
      </c>
      <c r="I4" t="s">
        <v>69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67</v>
      </c>
      <c r="I7" t="s">
        <v>68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 s="7">
        <v>0.5</v>
      </c>
      <c r="C9" s="7">
        <v>0</v>
      </c>
      <c r="D9" s="7">
        <v>0</v>
      </c>
      <c r="E9" s="7">
        <v>0</v>
      </c>
      <c r="F9" s="2"/>
      <c r="G9" s="6" t="s">
        <v>70</v>
      </c>
      <c r="H9" s="6" t="s">
        <v>52</v>
      </c>
      <c r="L9" s="31"/>
      <c r="M9" s="32"/>
      <c r="N9" s="31"/>
      <c r="O9" s="32"/>
    </row>
    <row r="10" spans="1:15" x14ac:dyDescent="0.4">
      <c r="A10" s="2"/>
      <c r="B10">
        <v>0.5</v>
      </c>
      <c r="C10" s="7">
        <v>3.2499999999999999E-3</v>
      </c>
      <c r="D10" s="7">
        <v>-6.2500000000000003E-3</v>
      </c>
      <c r="E10" s="7">
        <v>0</v>
      </c>
      <c r="F10" s="2"/>
      <c r="G10" s="24" t="s">
        <v>34</v>
      </c>
      <c r="H10" s="6" t="s">
        <v>52</v>
      </c>
      <c r="I10" t="s">
        <v>43</v>
      </c>
      <c r="J10" t="s">
        <v>53</v>
      </c>
    </row>
    <row r="11" spans="1:15" x14ac:dyDescent="0.4">
      <c r="A11" s="2"/>
      <c r="B11">
        <v>0.5</v>
      </c>
      <c r="C11" s="7">
        <v>2.5000000000000001E-2</v>
      </c>
      <c r="D11" s="7">
        <v>180</v>
      </c>
      <c r="E11" s="7">
        <v>220</v>
      </c>
      <c r="F11" s="2"/>
      <c r="G11" s="25" t="s">
        <v>24</v>
      </c>
      <c r="H11" s="6" t="s">
        <v>52</v>
      </c>
      <c r="I11" t="s">
        <v>54</v>
      </c>
      <c r="J11" t="s">
        <v>58</v>
      </c>
      <c r="K11" t="s">
        <v>71</v>
      </c>
    </row>
    <row r="12" spans="1:15" x14ac:dyDescent="0.4">
      <c r="A12" s="2"/>
      <c r="B12">
        <v>0.5</v>
      </c>
      <c r="C12" s="7">
        <v>0</v>
      </c>
      <c r="D12" s="7">
        <v>0</v>
      </c>
      <c r="E12" s="7">
        <v>0</v>
      </c>
      <c r="F12" s="2"/>
      <c r="G12" s="23" t="s">
        <v>25</v>
      </c>
      <c r="H12" s="6" t="s">
        <v>52</v>
      </c>
    </row>
    <row r="13" spans="1:15" x14ac:dyDescent="0.4">
      <c r="A13" s="2"/>
      <c r="B13" s="7">
        <v>-3.125E-2</v>
      </c>
      <c r="C13" s="7">
        <v>0.25</v>
      </c>
      <c r="D13" s="7">
        <v>160</v>
      </c>
      <c r="E13" s="7">
        <v>0</v>
      </c>
      <c r="F13" s="2"/>
      <c r="G13" s="24" t="s">
        <v>55</v>
      </c>
      <c r="H13" s="6" t="s">
        <v>59</v>
      </c>
      <c r="I13" t="s">
        <v>60</v>
      </c>
      <c r="J13" t="s">
        <v>64</v>
      </c>
    </row>
    <row r="14" spans="1:15" x14ac:dyDescent="0.4">
      <c r="A14" s="2"/>
      <c r="B14" s="7">
        <v>-7.5312499999999998E-3</v>
      </c>
      <c r="C14" s="7">
        <v>1.0499999999999999E-3</v>
      </c>
      <c r="D14" s="7">
        <v>12</v>
      </c>
      <c r="E14" s="7">
        <v>0</v>
      </c>
      <c r="F14" s="2"/>
      <c r="G14" s="24" t="s">
        <v>28</v>
      </c>
      <c r="H14" s="6" t="s">
        <v>59</v>
      </c>
      <c r="I14" t="s">
        <v>62</v>
      </c>
      <c r="J14" t="s">
        <v>63</v>
      </c>
    </row>
    <row r="15" spans="1:15" x14ac:dyDescent="0.4">
      <c r="A15" s="2"/>
      <c r="B15">
        <f>(0.0125*0.0125)</f>
        <v>1.5625000000000003E-4</v>
      </c>
      <c r="C15" s="7">
        <v>-0.25</v>
      </c>
      <c r="D15" s="7">
        <v>0</v>
      </c>
      <c r="E15" s="7">
        <v>0</v>
      </c>
      <c r="F15" s="2"/>
      <c r="G15" s="24" t="s">
        <v>56</v>
      </c>
      <c r="H15" s="6" t="s">
        <v>61</v>
      </c>
      <c r="I15" t="s">
        <v>66</v>
      </c>
    </row>
    <row r="16" spans="1:15" ht="19.5" thickBot="1" x14ac:dyDescent="0.45">
      <c r="A16" s="2"/>
      <c r="B16" s="7">
        <f>-(B15)</f>
        <v>-1.5625000000000003E-4</v>
      </c>
      <c r="C16" s="7">
        <v>0.25</v>
      </c>
      <c r="D16" s="7">
        <v>0.5</v>
      </c>
      <c r="E16" s="7">
        <v>0</v>
      </c>
      <c r="F16" s="2"/>
      <c r="G16" s="26" t="s">
        <v>57</v>
      </c>
      <c r="H16" s="6" t="s">
        <v>61</v>
      </c>
      <c r="I16" t="s">
        <v>66</v>
      </c>
      <c r="J16" t="s">
        <v>65</v>
      </c>
    </row>
    <row r="17" spans="1:8" x14ac:dyDescent="0.4">
      <c r="A17" s="2" t="s">
        <v>21</v>
      </c>
    </row>
    <row r="18" spans="1:8" x14ac:dyDescent="0.4">
      <c r="B18" t="s">
        <v>30</v>
      </c>
      <c r="C18" t="s">
        <v>31</v>
      </c>
    </row>
    <row r="19" spans="1:8" x14ac:dyDescent="0.4">
      <c r="B19">
        <v>400</v>
      </c>
      <c r="C19">
        <v>250</v>
      </c>
    </row>
    <row r="21" spans="1:8" x14ac:dyDescent="0.4">
      <c r="C21" s="28">
        <v>6.2500000000000003E-3</v>
      </c>
      <c r="D21" s="28">
        <v>0.125</v>
      </c>
      <c r="E21" s="27"/>
      <c r="F21" s="28"/>
      <c r="G21" s="30"/>
      <c r="H21" s="29"/>
    </row>
    <row r="24" spans="1:8" ht="19.5" thickBot="1" x14ac:dyDescent="0.45"/>
    <row r="25" spans="1:8" x14ac:dyDescent="0.4">
      <c r="B25" s="8">
        <v>-450</v>
      </c>
      <c r="C25" s="9">
        <v>0</v>
      </c>
      <c r="D25" s="9">
        <v>0</v>
      </c>
      <c r="E25" s="9">
        <v>0</v>
      </c>
      <c r="F25" s="10"/>
      <c r="G25" s="11" t="s">
        <v>24</v>
      </c>
    </row>
    <row r="26" spans="1:8" x14ac:dyDescent="0.4">
      <c r="B26" s="12">
        <v>-255</v>
      </c>
      <c r="C26" s="13">
        <v>0</v>
      </c>
      <c r="D26" s="13">
        <v>0</v>
      </c>
      <c r="E26" s="13">
        <v>0</v>
      </c>
      <c r="F26" s="2"/>
      <c r="G26" s="14" t="s">
        <v>25</v>
      </c>
    </row>
    <row r="27" spans="1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27</v>
      </c>
    </row>
    <row r="28" spans="1:8" x14ac:dyDescent="0.4">
      <c r="B28" s="15">
        <v>-240</v>
      </c>
      <c r="C28" s="13">
        <v>0</v>
      </c>
      <c r="D28" s="13">
        <v>0</v>
      </c>
      <c r="E28" s="13">
        <v>0</v>
      </c>
      <c r="F28" s="2"/>
      <c r="G28" s="16" t="s">
        <v>26</v>
      </c>
    </row>
    <row r="29" spans="1:8" x14ac:dyDescent="0.4">
      <c r="B29" s="15">
        <v>-240</v>
      </c>
      <c r="C29" s="13">
        <v>0</v>
      </c>
      <c r="D29" s="13">
        <v>0</v>
      </c>
      <c r="E29" s="13">
        <v>10</v>
      </c>
      <c r="F29" s="2"/>
      <c r="G29" s="16" t="s">
        <v>28</v>
      </c>
    </row>
    <row r="30" spans="1:8" ht="19.5" thickBot="1" x14ac:dyDescent="0.45">
      <c r="B30" s="17">
        <v>-10</v>
      </c>
      <c r="C30" s="18">
        <v>0</v>
      </c>
      <c r="D30" s="18">
        <v>0</v>
      </c>
      <c r="E30" s="18">
        <v>10</v>
      </c>
      <c r="F30" s="19"/>
      <c r="G30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2019-01-18T07:07:46Z</dcterms:modified>
</cp:coreProperties>
</file>