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2" i="1" l="1"/>
  <c r="D8" i="1" l="1"/>
  <c r="C8" i="1"/>
  <c r="B8" i="1"/>
  <c r="N8" i="1"/>
  <c r="B16" i="1" l="1"/>
  <c r="B15" i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<sst xmlns="http://schemas.openxmlformats.org/spreadsheetml/2006/main" count="88" uniqueCount="72">
  <si>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</si>
  <si>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</si>
  <si>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</si>
  <si>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</si>
  <si>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</si>
  <si>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</si>
  <si>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</si>
  <si>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</si>
  <si>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</si>
  <si>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</si>
  <si>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</si>
  <si>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</si>
  <si>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</si>
  <si>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</si>
  <si>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</si>
  <si>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</si>
  <si>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</si>
  <si>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</si>
  <si>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</si>
  <si>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</si>
  <si>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</si>
  <si>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</si>
  <si>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</si>
  <si>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タイミング</t>
    <phoneticPr fontId="1"/>
  </si>
  <si>
    <t>通路を通る主人公</t>
    <rPh sb="0" eb="2">
      <t>ツウロ</t>
    </rPh>
    <rPh sb="3" eb="4">
      <t>トオ</t>
    </rPh>
    <rPh sb="5" eb="8">
      <t>シュジンコウ</t>
    </rPh>
    <phoneticPr fontId="1"/>
  </si>
  <si>
    <t>広場に出た主人公</t>
    <rPh sb="0" eb="2">
      <t>ヒロバ</t>
    </rPh>
    <rPh sb="3" eb="4">
      <t>デ</t>
    </rPh>
    <rPh sb="5" eb="8">
      <t>シュジンコウ</t>
    </rPh>
    <phoneticPr fontId="1"/>
  </si>
  <si>
    <t>天井から敵登場</t>
    <rPh sb="0" eb="2">
      <t>テンジョウ</t>
    </rPh>
    <rPh sb="4" eb="5">
      <t>テキ</t>
    </rPh>
    <rPh sb="5" eb="7">
      <t>トウジョウ</t>
    </rPh>
    <phoneticPr fontId="1"/>
  </si>
  <si>
    <t>天井を澪上げる</t>
    <rPh sb="0" eb="2">
      <t>テンジョウ</t>
    </rPh>
    <rPh sb="3" eb="4">
      <t>ミオ</t>
    </rPh>
    <rPh sb="4" eb="5">
      <t>ア</t>
    </rPh>
    <phoneticPr fontId="1"/>
  </si>
  <si>
    <t>敵着地</t>
    <rPh sb="0" eb="1">
      <t>テキ</t>
    </rPh>
    <rPh sb="1" eb="3">
      <t>チャクチ</t>
    </rPh>
    <phoneticPr fontId="1"/>
  </si>
  <si>
    <t>にらみ合う二人</t>
    <rPh sb="3" eb="4">
      <t>ア</t>
    </rPh>
    <rPh sb="5" eb="7">
      <t>フタリ</t>
    </rPh>
    <phoneticPr fontId="1"/>
  </si>
  <si>
    <t>天井</t>
    <rPh sb="0" eb="2">
      <t>テンジョウ</t>
    </rPh>
    <phoneticPr fontId="1"/>
  </si>
  <si>
    <t>壁</t>
    <rPh sb="0" eb="1">
      <t>カベ</t>
    </rPh>
    <phoneticPr fontId="1"/>
  </si>
  <si>
    <t>エリア全体を写す</t>
    <rPh sb="3" eb="5">
      <t>ゼンタイ</t>
    </rPh>
    <rPh sb="6" eb="7">
      <t>ウツ</t>
    </rPh>
    <phoneticPr fontId="1"/>
  </si>
  <si>
    <t>ステージが赤くなる1</t>
    <rPh sb="5" eb="6">
      <t>アカ</t>
    </rPh>
    <phoneticPr fontId="1"/>
  </si>
  <si>
    <t>通路を行く自機の正面</t>
    <rPh sb="0" eb="2">
      <t>ツウロ</t>
    </rPh>
    <rPh sb="3" eb="4">
      <t>ユ</t>
    </rPh>
    <rPh sb="5" eb="7">
      <t>ジキ</t>
    </rPh>
    <rPh sb="8" eb="10">
      <t>ショウメン</t>
    </rPh>
    <phoneticPr fontId="1"/>
  </si>
  <si>
    <t>天井が開く</t>
    <rPh sb="0" eb="2">
      <t>テンジョウ</t>
    </rPh>
    <rPh sb="3" eb="4">
      <t>ヒラ</t>
    </rPh>
    <phoneticPr fontId="1"/>
  </si>
  <si>
    <t>3( 天井を写す )</t>
    <rPh sb="3" eb="5">
      <t>テンジョウ</t>
    </rPh>
    <rPh sb="6" eb="7">
      <t>ウツ</t>
    </rPh>
    <phoneticPr fontId="1"/>
  </si>
  <si>
    <t>出撃シーンのカメラの移動速度等</t>
    <rPh sb="0" eb="2">
      <t>シュツゲキ</t>
    </rPh>
    <rPh sb="10" eb="12">
      <t>イドウ</t>
    </rPh>
    <rPh sb="12" eb="14">
      <t>ソクド</t>
    </rPh>
    <rPh sb="14" eb="15">
      <t>トウ</t>
    </rPh>
    <phoneticPr fontId="1"/>
  </si>
  <si>
    <t>列1</t>
  </si>
  <si>
    <t>列2</t>
  </si>
  <si>
    <t>列3</t>
  </si>
  <si>
    <t>列4</t>
  </si>
  <si>
    <t>使い道</t>
    <rPh sb="0" eb="1">
      <t>ツカ</t>
    </rPh>
    <rPh sb="2" eb="3">
      <t>ミチ</t>
    </rPh>
    <phoneticPr fontId="1"/>
  </si>
  <si>
    <t>回転速度</t>
    <rPh sb="0" eb="2">
      <t>カイテン</t>
    </rPh>
    <rPh sb="2" eb="4">
      <t>ソクド</t>
    </rPh>
    <phoneticPr fontId="1"/>
  </si>
  <si>
    <t>カメラ横移動速度</t>
    <rPh sb="3" eb="4">
      <t>ヨコ</t>
    </rPh>
    <rPh sb="4" eb="6">
      <t>イドウ</t>
    </rPh>
    <rPh sb="6" eb="8">
      <t>ソクド</t>
    </rPh>
    <phoneticPr fontId="1"/>
  </si>
  <si>
    <t>カメラ移動Y</t>
    <rPh sb="3" eb="5">
      <t>イドウ</t>
    </rPh>
    <phoneticPr fontId="1"/>
  </si>
  <si>
    <t>カメラ移動Z</t>
    <rPh sb="3" eb="5">
      <t>イドウ</t>
    </rPh>
    <phoneticPr fontId="1"/>
  </si>
  <si>
    <t>カメラ回転</t>
    <rPh sb="3" eb="5">
      <t>カイテン</t>
    </rPh>
    <phoneticPr fontId="1"/>
  </si>
  <si>
    <t>敵下降</t>
    <rPh sb="0" eb="1">
      <t>テキ</t>
    </rPh>
    <rPh sb="1" eb="3">
      <t>カコウ</t>
    </rPh>
    <phoneticPr fontId="1"/>
  </si>
  <si>
    <t>次カット視点高さ</t>
    <rPh sb="0" eb="1">
      <t>ツギ</t>
    </rPh>
    <rPh sb="4" eb="6">
      <t>シテン</t>
    </rPh>
    <rPh sb="6" eb="7">
      <t>タカ</t>
    </rPh>
    <phoneticPr fontId="1"/>
  </si>
  <si>
    <t>カメラ下降</t>
    <rPh sb="3" eb="5">
      <t>カコウ</t>
    </rPh>
    <phoneticPr fontId="1"/>
  </si>
  <si>
    <t>カメラが敵に寄る</t>
    <rPh sb="4" eb="5">
      <t>テキ</t>
    </rPh>
    <rPh sb="6" eb="7">
      <t>ヨ</t>
    </rPh>
    <phoneticPr fontId="1"/>
  </si>
  <si>
    <t>自機速度</t>
    <rPh sb="0" eb="2">
      <t>ジキ</t>
    </rPh>
    <rPh sb="2" eb="4">
      <t>ソクド</t>
    </rPh>
    <phoneticPr fontId="1"/>
  </si>
  <si>
    <t>遠ざかり</t>
    <rPh sb="0" eb="1">
      <t>トオ</t>
    </rPh>
    <phoneticPr fontId="1"/>
  </si>
  <si>
    <t>近づき</t>
    <rPh sb="0" eb="1">
      <t>チカ</t>
    </rPh>
    <phoneticPr fontId="1"/>
  </si>
  <si>
    <t>立ち止まる主人公を見下ろす敵</t>
    <rPh sb="0" eb="1">
      <t>タ</t>
    </rPh>
    <rPh sb="2" eb="3">
      <t>ド</t>
    </rPh>
    <rPh sb="5" eb="8">
      <t>シュジンコウ</t>
    </rPh>
    <rPh sb="9" eb="11">
      <t>ミオ</t>
    </rPh>
    <rPh sb="13" eb="14">
      <t>テキ</t>
    </rPh>
    <phoneticPr fontId="1"/>
  </si>
  <si>
    <t>自機の顔アップ</t>
    <rPh sb="0" eb="2">
      <t>ジキ</t>
    </rPh>
    <rPh sb="3" eb="4">
      <t>カオ</t>
    </rPh>
    <phoneticPr fontId="1"/>
  </si>
  <si>
    <t>敵の顔アップ</t>
    <rPh sb="0" eb="1">
      <t>テキ</t>
    </rPh>
    <rPh sb="2" eb="3">
      <t>カオ</t>
    </rPh>
    <phoneticPr fontId="1"/>
  </si>
  <si>
    <t>開くフレーム数</t>
    <rPh sb="0" eb="1">
      <t>ヒラ</t>
    </rPh>
    <rPh sb="6" eb="7">
      <t>スウ</t>
    </rPh>
    <phoneticPr fontId="1"/>
  </si>
  <si>
    <t>敵下降速度</t>
    <rPh sb="0" eb="1">
      <t>テキ</t>
    </rPh>
    <rPh sb="1" eb="3">
      <t>カコウ</t>
    </rPh>
    <rPh sb="3" eb="5">
      <t>ソクド</t>
    </rPh>
    <phoneticPr fontId="1"/>
  </si>
  <si>
    <t>自機速度</t>
    <rPh sb="0" eb="2">
      <t>ジキ</t>
    </rPh>
    <rPh sb="2" eb="4">
      <t>ソクド</t>
    </rPh>
    <phoneticPr fontId="1"/>
  </si>
  <si>
    <t>カメラ速度</t>
    <rPh sb="3" eb="5">
      <t>ソクド</t>
    </rPh>
    <phoneticPr fontId="1"/>
  </si>
  <si>
    <t>着地座標</t>
    <rPh sb="0" eb="2">
      <t>チャクチ</t>
    </rPh>
    <rPh sb="2" eb="4">
      <t>ザヒョウ</t>
    </rPh>
    <phoneticPr fontId="1"/>
  </si>
  <si>
    <t>ジャンプ終了アニメ番号</t>
    <rPh sb="4" eb="6">
      <t>シュウリョウ</t>
    </rPh>
    <rPh sb="9" eb="11">
      <t>バンゴウ</t>
    </rPh>
    <phoneticPr fontId="1"/>
  </si>
  <si>
    <t>敵が構えるフレーム</t>
    <rPh sb="0" eb="1">
      <t>テキ</t>
    </rPh>
    <rPh sb="2" eb="3">
      <t>カマ</t>
    </rPh>
    <phoneticPr fontId="1"/>
  </si>
  <si>
    <t>自機速度</t>
    <rPh sb="0" eb="2">
      <t>ジキ</t>
    </rPh>
    <rPh sb="2" eb="4">
      <t>ソクド</t>
    </rPh>
    <phoneticPr fontId="1"/>
  </si>
  <si>
    <t>カメラと頭との差</t>
    <rPh sb="4" eb="5">
      <t>アタマ</t>
    </rPh>
    <rPh sb="7" eb="8">
      <t>サ</t>
    </rPh>
    <phoneticPr fontId="1"/>
  </si>
  <si>
    <t>上がる</t>
    <rPh sb="0" eb="1">
      <t>ア</t>
    </rPh>
    <phoneticPr fontId="1"/>
  </si>
  <si>
    <t>前進</t>
    <rPh sb="0" eb="2">
      <t>ゼンシン</t>
    </rPh>
    <phoneticPr fontId="1"/>
  </si>
  <si>
    <t>効果音フレーム数</t>
    <rPh sb="0" eb="3">
      <t>コウカオン</t>
    </rPh>
    <rPh sb="7" eb="8">
      <t>スウ</t>
    </rPh>
    <phoneticPr fontId="1"/>
  </si>
  <si>
    <t>通路をカメラの前を通り過ぎる主人公</t>
    <rPh sb="0" eb="2">
      <t>ツウロ</t>
    </rPh>
    <rPh sb="7" eb="8">
      <t>マエ</t>
    </rPh>
    <rPh sb="9" eb="10">
      <t>トオ</t>
    </rPh>
    <rPh sb="11" eb="12">
      <t>ス</t>
    </rPh>
    <rPh sb="14" eb="17">
      <t>シュジンコウ</t>
    </rPh>
    <phoneticPr fontId="1"/>
  </si>
  <si>
    <t>次のカットの通り過ぎSEを鳴らすフレーム</t>
    <rPh sb="0" eb="1">
      <t>ツギ</t>
    </rPh>
    <rPh sb="6" eb="7">
      <t>トオ</t>
    </rPh>
    <rPh sb="8" eb="9">
      <t>ス</t>
    </rPh>
    <rPh sb="13" eb="14">
      <t>ナ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</si>
</sst>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4" tint="0.39997558519241921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/>
      <bottom/>
      <diagonal/>
    </border>
    <border>
      <left style="thin">
        <color theme="4" tint="0.39997558519241921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2" fillId="3" borderId="0" xfId="0" applyNumberFormat="1" applyFont="1" applyFill="1" applyBorder="1">
      <alignment vertical="center"/>
    </xf>
    <xf numFmtId="176" fontId="0" fillId="2" borderId="0" xfId="0" applyNumberFormat="1" applyFont="1" applyFill="1" applyBorder="1">
      <alignment vertical="center"/>
    </xf>
    <xf numFmtId="176" fontId="0" fillId="0" borderId="0" xfId="0" applyNumberFormat="1" applyFont="1" applyBorder="1">
      <alignment vertical="center"/>
    </xf>
    <xf numFmtId="0" fontId="0" fillId="0" borderId="0" xfId="0" applyNumberFormat="1">
      <alignment vertical="center"/>
    </xf>
    <xf numFmtId="0" fontId="0" fillId="0" borderId="2" xfId="0" applyBorder="1">
      <alignment vertical="center"/>
    </xf>
    <xf numFmtId="0" fontId="0" fillId="0" borderId="3" xfId="0" applyNumberFormat="1" applyBorder="1">
      <alignment vertical="center"/>
    </xf>
    <xf numFmtId="0" fontId="0" fillId="0" borderId="3" xfId="0" applyBorder="1">
      <alignment vertical="center"/>
    </xf>
    <xf numFmtId="176" fontId="0" fillId="2" borderId="4" xfId="0" applyNumberFormat="1" applyFont="1" applyFill="1" applyBorder="1">
      <alignment vertical="center"/>
    </xf>
    <xf numFmtId="0" fontId="0" fillId="0" borderId="5" xfId="0" applyBorder="1">
      <alignment vertical="center"/>
    </xf>
    <xf numFmtId="0" fontId="0" fillId="0" borderId="0" xfId="0" applyNumberFormat="1" applyBorder="1">
      <alignment vertical="center"/>
    </xf>
    <xf numFmtId="176" fontId="0" fillId="0" borderId="6" xfId="0" applyNumberFormat="1" applyFont="1" applyBorder="1">
      <alignment vertical="center"/>
    </xf>
    <xf numFmtId="0" fontId="0" fillId="0" borderId="5" xfId="0" applyNumberFormat="1" applyBorder="1">
      <alignment vertical="center"/>
    </xf>
    <xf numFmtId="176" fontId="0" fillId="0" borderId="7" xfId="0" applyNumberFormat="1" applyFont="1" applyBorder="1">
      <alignment vertical="center"/>
    </xf>
    <xf numFmtId="0" fontId="0" fillId="0" borderId="8" xfId="0" applyBorder="1">
      <alignment vertical="center"/>
    </xf>
    <xf numFmtId="0" fontId="0" fillId="0" borderId="9" xfId="0" applyNumberFormat="1" applyBorder="1">
      <alignment vertical="center"/>
    </xf>
    <xf numFmtId="0" fontId="0" fillId="0" borderId="9" xfId="0" applyBorder="1">
      <alignment vertical="center"/>
    </xf>
    <xf numFmtId="176" fontId="0" fillId="0" borderId="10" xfId="0" applyNumberFormat="1" applyFont="1" applyBorder="1">
      <alignment vertical="center"/>
    </xf>
    <xf numFmtId="176" fontId="2" fillId="3" borderId="11" xfId="0" applyNumberFormat="1" applyFont="1" applyFill="1" applyBorder="1">
      <alignment vertical="center"/>
    </xf>
    <xf numFmtId="176" fontId="0" fillId="2" borderId="12" xfId="0" applyNumberFormat="1" applyFont="1" applyFill="1" applyBorder="1">
      <alignment vertical="center"/>
    </xf>
    <xf numFmtId="176" fontId="0" fillId="0" borderId="13" xfId="0" applyNumberFormat="1" applyFont="1" applyBorder="1">
      <alignment vertical="center"/>
    </xf>
    <xf numFmtId="176" fontId="0" fillId="0" borderId="14" xfId="0" applyNumberFormat="1" applyFont="1" applyBorder="1">
      <alignment vertical="center"/>
    </xf>
    <xf numFmtId="176" fontId="0" fillId="2" borderId="13" xfId="0" applyNumberFormat="1" applyFont="1" applyFill="1" applyBorder="1">
      <alignment vertical="center"/>
    </xf>
    <xf numFmtId="176" fontId="0" fillId="0" borderId="15" xfId="0" applyNumberFormat="1" applyFont="1" applyBorder="1">
      <alignment vertical="center"/>
    </xf>
    <xf numFmtId="0" fontId="0" fillId="0" borderId="16" xfId="0" applyFont="1" applyBorder="1">
      <alignment vertical="center"/>
    </xf>
    <xf numFmtId="0" fontId="0" fillId="0" borderId="17" xfId="0" applyNumberFormat="1" applyFont="1" applyBorder="1">
      <alignment vertical="center"/>
    </xf>
    <xf numFmtId="0" fontId="0" fillId="0" borderId="18" xfId="0" applyNumberFormat="1" applyFont="1" applyBorder="1">
      <alignment vertical="center"/>
    </xf>
    <xf numFmtId="0" fontId="0" fillId="0" borderId="17" xfId="0" applyFont="1" applyBorder="1">
      <alignment vertical="center"/>
    </xf>
    <xf numFmtId="0" fontId="0" fillId="0" borderId="0" xfId="0" applyFont="1" applyBorder="1">
      <alignment vertical="center"/>
    </xf>
    <xf numFmtId="0" fontId="0" fillId="0" borderId="0" xfId="0" applyNumberFormat="1" applyFont="1" applyBorder="1">
      <alignment vertical="center"/>
    </xf>
  </cellXfs>
  <cellStyles count="1">
    <cellStyle name="標準" xfId="0" builtinId="0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21</xdr:row>
      <xdr:rowOff>190499</xdr:rowOff>
    </xdr:from>
    <xdr:to>
      <xdr:col>0</xdr:col>
      <xdr:colOff>2050677</xdr:colOff>
      <xdr:row>27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17" totalsRowCount="1">
  <autoFilter ref="B2:E16"/>
  <tableColumns count="4">
    <tableColumn id="1" name="列1" dataDxfId="3">
      <calculatedColumnFormula>BIN2DEC(G3)</calculatedColumnFormula>
    </tableColumn>
    <tableColumn id="2" name="列2" dataDxfId="2"/>
    <tableColumn id="3" name="列3" dataDxfId="1"/>
    <tableColumn id="4" name="列4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30"/>
  <sheetViews>
    <sheetView tabSelected="1" topLeftCell="A2" zoomScale="70" zoomScaleNormal="70" workbookViewId="0">
      <selection activeCell="B17" sqref="B17"/>
    </sheetView>
  </sheetViews>
  <sheetFormatPr defaultRowHeight="18.75" x14ac:dyDescent="0.4"/>
  <cols>
    <col min="1" max="1" width="9.625" customWidth="1"/>
    <col min="2" max="5" width="12.625" customWidth="1"/>
    <col min="6" max="6" width="6.875" customWidth="1"/>
    <col min="7" max="7" width="29.625" style="3" bestFit="1" customWidth="1"/>
    <col min="8" max="8" width="17.25" style="3" bestFit="1" customWidth="1"/>
    <col min="9" max="9" width="18.25" bestFit="1" customWidth="1"/>
    <col min="10" max="10" width="11.5" bestFit="1" customWidth="1"/>
    <col min="11" max="11" width="18.25" bestFit="1" customWidth="1"/>
  </cols>
  <sheetData>
    <row r="1" spans="1:15" x14ac:dyDescent="0.4">
      <c r="A1" t="s">
        <v>37</v>
      </c>
    </row>
    <row r="2" spans="1:15" ht="19.5" thickBot="1" x14ac:dyDescent="0.45">
      <c r="B2" t="s">
        <v>38</v>
      </c>
      <c r="C2" t="s">
        <v>39</v>
      </c>
      <c r="D2" t="s">
        <v>40</v>
      </c>
      <c r="E2" t="s">
        <v>41</v>
      </c>
      <c r="G2" s="21" t="s">
        <v>23</v>
      </c>
      <c r="H2" s="4" t="s">
        <v>42</v>
      </c>
    </row>
    <row r="3" spans="1:15" x14ac:dyDescent="0.4">
      <c r="A3" s="2" t="s">
        <v>20</v>
      </c>
      <c r="B3">
        <v>6.2500000000000003E-3</v>
      </c>
      <c r="C3" s="7">
        <v>0</v>
      </c>
      <c r="D3" s="7">
        <v>0</v>
      </c>
      <c r="E3" s="7">
        <v>0</v>
      </c>
      <c r="F3" s="2" t="s">
        <v>18</v>
      </c>
      <c r="G3" s="22" t="s">
        <v>32</v>
      </c>
      <c r="H3" s="5" t="s">
        <v>43</v>
      </c>
    </row>
    <row r="4" spans="1:15" x14ac:dyDescent="0.4">
      <c r="A4" s="2"/>
      <c r="B4">
        <v>1.25</v>
      </c>
      <c r="C4" s="7">
        <v>60</v>
      </c>
      <c r="D4" s="7">
        <v>0</v>
      </c>
      <c r="E4" s="7">
        <v>0</v>
      </c>
      <c r="F4" s="2"/>
      <c r="G4" s="23" t="s">
        <v>33</v>
      </c>
      <c r="H4" s="6" t="s">
        <v>44</v>
      </c>
      <c r="I4" t="s">
        <v>69</v>
      </c>
    </row>
    <row r="5" spans="1:15" x14ac:dyDescent="0.4">
      <c r="A5" s="2"/>
      <c r="B5">
        <v>1.25</v>
      </c>
      <c r="C5" s="7">
        <v>-0.75</v>
      </c>
      <c r="D5" s="7">
        <v>0</v>
      </c>
      <c r="E5" s="7">
        <v>0</v>
      </c>
      <c r="F5" s="2"/>
      <c r="G5" s="24">
        <v>2</v>
      </c>
      <c r="H5" s="6" t="s">
        <v>45</v>
      </c>
      <c r="I5" t="s">
        <v>46</v>
      </c>
    </row>
    <row r="6" spans="1:15" x14ac:dyDescent="0.4">
      <c r="A6" s="2"/>
      <c r="B6">
        <v>1.25</v>
      </c>
      <c r="C6" s="7">
        <v>400</v>
      </c>
      <c r="D6" s="7">
        <v>0</v>
      </c>
      <c r="E6" s="7">
        <v>0</v>
      </c>
      <c r="F6" s="2"/>
      <c r="G6" s="24" t="s">
        <v>36</v>
      </c>
      <c r="H6" s="6" t="s">
        <v>45</v>
      </c>
      <c r="I6" t="s">
        <v>49</v>
      </c>
    </row>
    <row r="7" spans="1:15" x14ac:dyDescent="0.4">
      <c r="A7" s="2"/>
      <c r="B7" s="7">
        <v>0.75</v>
      </c>
      <c r="C7" s="7">
        <v>0.1875</v>
      </c>
      <c r="D7" s="7">
        <v>0</v>
      </c>
      <c r="E7" s="7">
        <v>0</v>
      </c>
      <c r="F7" s="2"/>
      <c r="G7" s="24" t="s">
        <v>35</v>
      </c>
      <c r="H7" s="6" t="s">
        <v>67</v>
      </c>
      <c r="I7" t="s">
        <v>68</v>
      </c>
    </row>
    <row r="8" spans="1:15" x14ac:dyDescent="0.4">
      <c r="A8" s="2"/>
      <c r="B8">
        <f>(0.003125*2)</f>
        <v>6.2500000000000003E-3</v>
      </c>
      <c r="C8" s="7">
        <f>(-0.125*2)</f>
        <v>-0.25</v>
      </c>
      <c r="D8">
        <f>((テーブル1[[#This Row],[列2]])+(0.000625*2))</f>
        <v>-0.24875</v>
      </c>
      <c r="E8" s="7">
        <v>0.125</v>
      </c>
      <c r="F8" s="2"/>
      <c r="G8" s="24" t="s">
        <v>26</v>
      </c>
      <c r="H8" s="6" t="s">
        <v>47</v>
      </c>
      <c r="I8" t="s">
        <v>48</v>
      </c>
      <c r="J8" t="s">
        <v>50</v>
      </c>
      <c r="K8" t="s">
        <v>51</v>
      </c>
      <c r="L8" s="27">
        <v>3.1250000000000002E-3</v>
      </c>
      <c r="M8" s="28">
        <v>-0.125</v>
      </c>
      <c r="N8" s="30">
        <f>(-0.125+0.000625)</f>
        <v>-0.124375</v>
      </c>
      <c r="O8" s="29">
        <v>0.125</v>
      </c>
    </row>
    <row r="9" spans="1:15" x14ac:dyDescent="0.4">
      <c r="A9" s="2"/>
      <c r="B9" s="7">
        <v>0.5</v>
      </c>
      <c r="C9" s="7">
        <v>0</v>
      </c>
      <c r="D9" s="7">
        <v>0</v>
      </c>
      <c r="E9" s="7">
        <v>0</v>
      </c>
      <c r="F9" s="2"/>
      <c r="G9" s="6" t="s">
        <v>70</v>
      </c>
      <c r="H9" s="6" t="s">
        <v>52</v>
      </c>
      <c r="L9" s="31"/>
      <c r="M9" s="32"/>
      <c r="N9" s="31"/>
      <c r="O9" s="32"/>
    </row>
    <row r="10" spans="1:15" x14ac:dyDescent="0.4">
      <c r="A10" s="2"/>
      <c r="B10">
        <v>0.5</v>
      </c>
      <c r="C10" s="7">
        <v>3.2499999999999999E-3</v>
      </c>
      <c r="D10" s="7">
        <v>-6.2500000000000003E-3</v>
      </c>
      <c r="E10" s="7">
        <v>0</v>
      </c>
      <c r="F10" s="2"/>
      <c r="G10" s="24" t="s">
        <v>34</v>
      </c>
      <c r="H10" s="6" t="s">
        <v>52</v>
      </c>
      <c r="I10" t="s">
        <v>43</v>
      </c>
      <c r="J10" t="s">
        <v>53</v>
      </c>
    </row>
    <row r="11" spans="1:15" x14ac:dyDescent="0.4">
      <c r="A11" s="2"/>
      <c r="B11">
        <v>0.5</v>
      </c>
      <c r="C11" s="7">
        <v>2.5000000000000001E-2</v>
      </c>
      <c r="D11" s="7">
        <v>180</v>
      </c>
      <c r="E11" s="7">
        <v>220</v>
      </c>
      <c r="F11" s="2"/>
      <c r="G11" s="25" t="s">
        <v>24</v>
      </c>
      <c r="H11" s="6" t="s">
        <v>52</v>
      </c>
      <c r="I11" t="s">
        <v>54</v>
      </c>
      <c r="J11" t="s">
        <v>58</v>
      </c>
      <c r="K11" t="s">
        <v>71</v>
      </c>
    </row>
    <row r="12" spans="1:15" x14ac:dyDescent="0.4">
      <c r="A12" s="2"/>
      <c r="B12">
        <v>0.5</v>
      </c>
      <c r="C12" s="7">
        <f>(-0.125*2)</f>
        <v>-0.25</v>
      </c>
      <c r="D12" s="7">
        <v>0</v>
      </c>
      <c r="E12" s="7">
        <v>0</v>
      </c>
      <c r="F12" s="2"/>
      <c r="G12" s="23" t="s">
        <v>25</v>
      </c>
      <c r="H12" s="6" t="s">
        <v>52</v>
      </c>
      <c r="I12" s="6" t="s">
        <v>59</v>
      </c>
    </row>
    <row r="13" spans="1:15" x14ac:dyDescent="0.4">
      <c r="A13" s="2"/>
      <c r="B13" s="7">
        <v>-3.125E-2</v>
      </c>
      <c r="C13" s="7">
        <v>0.25</v>
      </c>
      <c r="D13" s="7">
        <v>160</v>
      </c>
      <c r="E13" s="7">
        <v>0</v>
      </c>
      <c r="F13" s="2"/>
      <c r="G13" s="24" t="s">
        <v>55</v>
      </c>
      <c r="H13" s="6" t="s">
        <v>59</v>
      </c>
      <c r="I13" t="s">
        <v>60</v>
      </c>
      <c r="J13" t="s">
        <v>64</v>
      </c>
    </row>
    <row r="14" spans="1:15" x14ac:dyDescent="0.4">
      <c r="A14" s="2"/>
      <c r="B14" s="7">
        <v>-7.5312499999999998E-3</v>
      </c>
      <c r="C14" s="7">
        <v>1.0499999999999999E-3</v>
      </c>
      <c r="D14" s="7">
        <v>12</v>
      </c>
      <c r="E14" s="7">
        <v>0</v>
      </c>
      <c r="F14" s="2"/>
      <c r="G14" s="24" t="s">
        <v>28</v>
      </c>
      <c r="H14" s="6" t="s">
        <v>59</v>
      </c>
      <c r="I14" t="s">
        <v>62</v>
      </c>
      <c r="J14" t="s">
        <v>63</v>
      </c>
    </row>
    <row r="15" spans="1:15" x14ac:dyDescent="0.4">
      <c r="A15" s="2"/>
      <c r="B15">
        <f>(0.0125*0.0125)</f>
        <v>1.5625000000000003E-4</v>
      </c>
      <c r="C15" s="7">
        <v>-0.25</v>
      </c>
      <c r="D15" s="7">
        <v>0</v>
      </c>
      <c r="E15" s="7">
        <v>0</v>
      </c>
      <c r="F15" s="2"/>
      <c r="G15" s="24" t="s">
        <v>56</v>
      </c>
      <c r="H15" s="6" t="s">
        <v>61</v>
      </c>
      <c r="I15" t="s">
        <v>66</v>
      </c>
    </row>
    <row r="16" spans="1:15" ht="19.5" thickBot="1" x14ac:dyDescent="0.45">
      <c r="A16" s="2"/>
      <c r="B16" s="7">
        <f>-(B15)</f>
        <v>-1.5625000000000003E-4</v>
      </c>
      <c r="C16" s="7">
        <v>0.25</v>
      </c>
      <c r="D16" s="7">
        <v>0.5</v>
      </c>
      <c r="E16" s="7">
        <v>0</v>
      </c>
      <c r="F16" s="2"/>
      <c r="G16" s="26" t="s">
        <v>57</v>
      </c>
      <c r="H16" s="6" t="s">
        <v>61</v>
      </c>
      <c r="I16" t="s">
        <v>66</v>
      </c>
      <c r="J16" t="s">
        <v>65</v>
      </c>
    </row>
    <row r="17" spans="1:8" x14ac:dyDescent="0.4">
      <c r="A17" s="2" t="s">
        <v>21</v>
      </c>
    </row>
    <row r="18" spans="1:8" x14ac:dyDescent="0.4">
      <c r="B18" t="s">
        <v>30</v>
      </c>
      <c r="C18" t="s">
        <v>31</v>
      </c>
    </row>
    <row r="19" spans="1:8" x14ac:dyDescent="0.4">
      <c r="B19">
        <v>400</v>
      </c>
      <c r="C19">
        <v>250</v>
      </c>
    </row>
    <row r="21" spans="1:8" x14ac:dyDescent="0.4">
      <c r="C21" s="28">
        <v>6.2500000000000003E-3</v>
      </c>
      <c r="D21" s="28">
        <v>0.125</v>
      </c>
      <c r="E21" s="27"/>
      <c r="F21" s="28"/>
      <c r="G21" s="30"/>
      <c r="H21" s="29"/>
    </row>
    <row r="24" spans="1:8" ht="19.5" thickBot="1" x14ac:dyDescent="0.45"/>
    <row r="25" spans="1:8" x14ac:dyDescent="0.4">
      <c r="B25" s="8">
        <v>-450</v>
      </c>
      <c r="C25" s="9">
        <v>0</v>
      </c>
      <c r="D25" s="9">
        <v>0</v>
      </c>
      <c r="E25" s="9">
        <v>0</v>
      </c>
      <c r="F25" s="10"/>
      <c r="G25" s="11" t="s">
        <v>24</v>
      </c>
    </row>
    <row r="26" spans="1:8" x14ac:dyDescent="0.4">
      <c r="B26" s="12">
        <v>-255</v>
      </c>
      <c r="C26" s="13">
        <v>0</v>
      </c>
      <c r="D26" s="13">
        <v>0</v>
      </c>
      <c r="E26" s="13">
        <v>0</v>
      </c>
      <c r="F26" s="2"/>
      <c r="G26" s="14" t="s">
        <v>25</v>
      </c>
    </row>
    <row r="27" spans="1:8" x14ac:dyDescent="0.4">
      <c r="B27" s="15">
        <v>-240</v>
      </c>
      <c r="C27" s="13">
        <v>0</v>
      </c>
      <c r="D27" s="13">
        <v>0</v>
      </c>
      <c r="E27" s="13">
        <v>0</v>
      </c>
      <c r="F27" s="2"/>
      <c r="G27" s="16" t="s">
        <v>27</v>
      </c>
    </row>
    <row r="28" spans="1:8" x14ac:dyDescent="0.4">
      <c r="B28" s="15">
        <v>-240</v>
      </c>
      <c r="C28" s="13">
        <v>0</v>
      </c>
      <c r="D28" s="13">
        <v>0</v>
      </c>
      <c r="E28" s="13">
        <v>0</v>
      </c>
      <c r="F28" s="2"/>
      <c r="G28" s="16" t="s">
        <v>26</v>
      </c>
    </row>
    <row r="29" spans="1:8" x14ac:dyDescent="0.4">
      <c r="B29" s="15">
        <v>-240</v>
      </c>
      <c r="C29" s="13">
        <v>0</v>
      </c>
      <c r="D29" s="13">
        <v>0</v>
      </c>
      <c r="E29" s="13">
        <v>10</v>
      </c>
      <c r="F29" s="2"/>
      <c r="G29" s="16" t="s">
        <v>28</v>
      </c>
    </row>
    <row r="30" spans="1:8" ht="19.5" thickBot="1" x14ac:dyDescent="0.45">
      <c r="B30" s="17">
        <v>-10</v>
      </c>
      <c r="C30" s="18">
        <v>0</v>
      </c>
      <c r="D30" s="18">
        <v>0</v>
      </c>
      <c r="E30" s="18">
        <v>10</v>
      </c>
      <c r="F30" s="19"/>
      <c r="G30" s="20" t="s">
        <v>29</v>
      </c>
    </row>
  </sheetData>
  <phoneticPr fontId="1"/>
  <pageMargins left="0.7" right="0.7" top="0.75" bottom="0.75" header="0.3" footer="0.3"/>
  <pageSetup paperSize="9" orientation="portrait" r:id="rId1"/>
  <ignoredErrors>
    <ignoredError sqref="E3" calculatedColumn="1"/>
  </ignoredErrors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2019-01-21T03:00:07Z</dcterms:modified>
</cp:coreProperties>
</file>