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Tahara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7" i="1" l="1"/>
  <c r="C18" i="1" s="1"/>
  <c r="C19" i="1" s="1"/>
  <c r="C20" i="1" s="1"/>
  <c r="C21" i="1" s="1"/>
  <c r="C22" i="1" s="1"/>
  <c r="C23" i="1" s="1"/>
  <c r="C24" i="1" s="1"/>
  <c r="C25" i="1" s="1"/>
  <c r="C26" i="1" s="1"/>
  <c r="C27" i="1" s="1"/>
  <c r="C28" i="1" s="1"/>
  <c r="C29" i="1" s="1"/>
  <c r="C30" i="1" s="1"/>
  <c r="C31" i="1" s="1"/>
  <c r="C32" i="1" s="1"/>
  <c r="C33" i="1" s="1"/>
  <c r="C34" i="1" s="1"/>
  <c r="C35" i="1" s="1"/>
  <c r="C36" i="1" s="1"/>
  <c r="C37" i="1" s="1"/>
  <c r="C38" i="1" s="1"/>
  <c r="C39" i="1" s="1"/>
  <c r="D39" i="1"/>
  <c r="D38" i="1"/>
  <c r="D37" i="1"/>
  <c r="D36" i="1"/>
  <c r="D35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16" i="1"/>
  <c r="D15" i="1"/>
  <c r="D13" i="1"/>
  <c r="D12" i="1"/>
  <c r="D10" i="1"/>
  <c r="D8" i="1"/>
  <c r="D6" i="1"/>
  <c r="D5" i="1"/>
  <c r="D11" i="1"/>
  <c r="D9" i="1"/>
  <c r="D7" i="1"/>
  <c r="D4" i="1"/>
  <c r="D3" i="1"/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<sst xmlns="http://schemas.openxmlformats.org/spreadsheetml/2006/main" count="83" uniqueCount="74">
  <si>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</si>
  <si>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</si>
  <si>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</si>
  <si>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</si>
  <si>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</si>
  <si>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</si>
  <si>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</si>
  <si>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</si>
  <si>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</si>
  <si>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</si>
  <si>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</si>
  <si>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</si>
  <si>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</si>
  <si>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</si>
  <si>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</si>
  <si>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</si>
  <si>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</si>
  <si>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</si>
  <si>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</si>
  <si>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</si>
  <si>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</si>
  <si>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</si>
  <si>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</si>
  <si>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スタッフロールステータス</t>
    <phoneticPr fontId="1"/>
  </si>
  <si>
    <t>メッセージ</t>
    <phoneticPr fontId="1"/>
  </si>
  <si>
    <t>日吉陽道</t>
    <rPh sb="0" eb="2">
      <t>ヒヨシ</t>
    </rPh>
    <rPh sb="2" eb="3">
      <t>ヨウ</t>
    </rPh>
    <rPh sb="3" eb="4">
      <t>ミチ</t>
    </rPh>
    <phoneticPr fontId="1"/>
  </si>
  <si>
    <t>太原成海</t>
    <rPh sb="0" eb="4">
      <t>タハラナルミ</t>
    </rPh>
    <phoneticPr fontId="1"/>
  </si>
  <si>
    <t>硲石大登</t>
    <rPh sb="0" eb="1">
      <t>ハザマ</t>
    </rPh>
    <rPh sb="1" eb="2">
      <t>イシ</t>
    </rPh>
    <rPh sb="2" eb="3">
      <t>ダイ</t>
    </rPh>
    <rPh sb="3" eb="4">
      <t>ノボ</t>
    </rPh>
    <phoneticPr fontId="1"/>
  </si>
  <si>
    <t>井上京介</t>
    <rPh sb="0" eb="2">
      <t>イノウエ</t>
    </rPh>
    <rPh sb="2" eb="4">
      <t>キョウスケ</t>
    </rPh>
    <phoneticPr fontId="1"/>
  </si>
  <si>
    <t>Thank you for playing!</t>
    <phoneticPr fontId="1"/>
  </si>
  <si>
    <t>零式マテリアル</t>
  </si>
  <si>
    <t>http://www.zero-matter.com/</t>
  </si>
  <si>
    <t>魔王魂</t>
  </si>
  <si>
    <t>https://maoudamashii.jokersounds.com/</t>
  </si>
  <si>
    <t>ザ・マッチメイカァズ</t>
  </si>
  <si>
    <t>http://osabisi.sakura.ne.jp/m2/index.html</t>
  </si>
  <si>
    <t>ポケットサウンド</t>
  </si>
  <si>
    <t>https://pocket-se.info/</t>
  </si>
  <si>
    <t>MusMus</t>
  </si>
  <si>
    <t>http://musmus.main.jp/</t>
  </si>
  <si>
    <t>スタジオ山奥</t>
  </si>
  <si>
    <t>http://studioyamaoku.info/index.html</t>
  </si>
  <si>
    <t>Desk Top Mafia</t>
  </si>
  <si>
    <t>http://desk-top-mafia.com/</t>
  </si>
  <si>
    <t>煉獄庭園</t>
  </si>
  <si>
    <t>http://www.rengoku-teien.com/</t>
  </si>
  <si>
    <t>X座標</t>
    <rPh sb="1" eb="3">
      <t>ザヒョウ</t>
    </rPh>
    <phoneticPr fontId="1"/>
  </si>
  <si>
    <t>Y座標</t>
    <rPh sb="1" eb="3">
      <t>ザヒョウ</t>
    </rPh>
    <phoneticPr fontId="1"/>
  </si>
  <si>
    <t>スケール</t>
    <phoneticPr fontId="1"/>
  </si>
  <si>
    <t>透明度</t>
    <rPh sb="0" eb="3">
      <t>トウメイド</t>
    </rPh>
    <phoneticPr fontId="1"/>
  </si>
  <si>
    <t>ー　フリー音源　使用サイト　ー</t>
    <rPh sb="5" eb="7">
      <t>オンゲン</t>
    </rPh>
    <rPh sb="8" eb="10">
      <t>シヨウ</t>
    </rPh>
    <phoneticPr fontId="1"/>
  </si>
  <si>
    <t>ー　プログラム　ー</t>
    <phoneticPr fontId="1"/>
  </si>
  <si>
    <t>ー　グラフィック　ー</t>
    <phoneticPr fontId="1"/>
  </si>
  <si>
    <t>ー　特別協力　ー</t>
    <rPh sb="2" eb="6">
      <t>トクベツキョウリョク</t>
    </rPh>
    <phoneticPr fontId="1"/>
  </si>
  <si>
    <t>ー　クレジット　ー</t>
    <phoneticPr fontId="1"/>
  </si>
  <si>
    <t>広瀬大祐</t>
    <rPh sb="0" eb="2">
      <t>ヒロセ</t>
    </rPh>
    <rPh sb="2" eb="4">
      <t>ダイスケ</t>
    </rPh>
    <phoneticPr fontId="1"/>
  </si>
  <si>
    <t>ー　ギガントウェポン専用コントローラー　ー</t>
    <rPh sb="10" eb="12">
      <t>センヨウ</t>
    </rPh>
    <phoneticPr fontId="1"/>
  </si>
  <si>
    <t>甘茶の音楽工房</t>
  </si>
  <si>
    <t>http://amachamusic.chagasi.com/</t>
  </si>
  <si>
    <t>http://www.hurtrecord.com/</t>
  </si>
  <si>
    <t>NOVA-SYNDROME</t>
  </si>
  <si>
    <t>https://dova-s.jp/</t>
  </si>
  <si>
    <t>無料効果音で遊ぼう!</t>
  </si>
  <si>
    <t>http://taira-komori.jpn.org/index.html</t>
  </si>
  <si>
    <t>スケール</t>
    <phoneticPr fontId="1"/>
  </si>
  <si>
    <t>役職</t>
    <rPh sb="0" eb="2">
      <t>ヤクショク</t>
    </rPh>
    <phoneticPr fontId="1"/>
  </si>
  <si>
    <t>名前</t>
    <rPh sb="0" eb="2">
      <t>ナマエ</t>
    </rPh>
    <phoneticPr fontId="1"/>
  </si>
  <si>
    <t>サイト名</t>
    <rPh sb="3" eb="4">
      <t>メイ</t>
    </rPh>
    <phoneticPr fontId="1"/>
  </si>
  <si>
    <t>URL</t>
    <phoneticPr fontId="1"/>
  </si>
  <si>
    <t>一行上とのY座標差分</t>
    <rPh sb="0" eb="2">
      <t>イチギョウ</t>
    </rPh>
    <rPh sb="2" eb="3">
      <t>ウエ</t>
    </rPh>
    <rPh sb="6" eb="8">
      <t>ザヒョウ</t>
    </rPh>
    <rPh sb="8" eb="10">
      <t>サブン</t>
    </rPh>
    <phoneticPr fontId="1"/>
  </si>
  <si>
    <t>k13</t>
    <phoneticPr fontId="1"/>
  </si>
  <si>
    <t>k14</t>
    <phoneticPr fontId="1"/>
  </si>
  <si>
    <t>HURT　RECORD</t>
    <phoneticPr fontId="1"/>
  </si>
  <si>
    <t>Press　B　Button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</si>
</sst>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2" fillId="3" borderId="2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0" borderId="2" xfId="0" applyFont="1" applyBorder="1">
      <alignment vertical="center"/>
    </xf>
    <xf numFmtId="0" fontId="0" fillId="0" borderId="3" xfId="0" applyFont="1" applyBorder="1">
      <alignment vertical="center"/>
    </xf>
    <xf numFmtId="0" fontId="0" fillId="2" borderId="3" xfId="0" applyFont="1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4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2" borderId="9" xfId="0" applyFont="1" applyFill="1" applyBorder="1">
      <alignment vertical="center"/>
    </xf>
    <xf numFmtId="0" fontId="0" fillId="0" borderId="9" xfId="0" applyFont="1" applyBorder="1">
      <alignment vertical="center"/>
    </xf>
    <xf numFmtId="0" fontId="0" fillId="2" borderId="10" xfId="0" applyFont="1" applyFill="1" applyBorder="1">
      <alignment vertical="center"/>
    </xf>
    <xf numFmtId="0" fontId="0" fillId="0" borderId="10" xfId="0" applyBorder="1">
      <alignment vertical="center"/>
    </xf>
    <xf numFmtId="0" fontId="0" fillId="2" borderId="0" xfId="0" applyFont="1" applyFill="1" applyBorder="1">
      <alignment vertical="center"/>
    </xf>
    <xf numFmtId="0" fontId="0" fillId="0" borderId="0" xfId="0" applyFont="1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44</xdr:row>
      <xdr:rowOff>190499</xdr:rowOff>
    </xdr:from>
    <xdr:to>
      <xdr:col>0</xdr:col>
      <xdr:colOff>2050677</xdr:colOff>
      <xdr:row>50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E40" totalsRowCount="1">
  <autoFilter ref="B2:E39"/>
  <tableColumns count="4">
    <tableColumn id="1" name="X座標" totalsRowLabel="平均"/>
    <tableColumn id="2" name="Y座標"/>
    <tableColumn id="3" name="スケール"/>
    <tableColumn id="5" name="透明度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40"/>
  <sheetViews>
    <sheetView tabSelected="1" topLeftCell="A15" zoomScale="85" zoomScaleNormal="85" workbookViewId="0">
      <selection activeCell="B40" sqref="B40"/>
    </sheetView>
  </sheetViews>
  <sheetFormatPr defaultRowHeight="18.75" x14ac:dyDescent="0.4"/>
  <cols>
    <col min="1" max="1" width="27.625" bestFit="1" customWidth="1"/>
    <col min="2" max="2" width="8.75" bestFit="1" customWidth="1"/>
    <col min="3" max="3" width="6.625" customWidth="1"/>
    <col min="4" max="4" width="6.25" customWidth="1"/>
    <col min="5" max="5" width="4" customWidth="1"/>
    <col min="6" max="6" width="10.625" customWidth="1"/>
    <col min="7" max="7" width="40.75" bestFit="1" customWidth="1"/>
    <col min="8" max="8" width="3.75" bestFit="1" customWidth="1"/>
    <col min="9" max="9" width="8.375" customWidth="1"/>
    <col min="10" max="10" width="31.75" bestFit="1" customWidth="1"/>
    <col min="11" max="11" width="20.625" bestFit="1" customWidth="1"/>
  </cols>
  <sheetData>
    <row r="1" spans="1:12" ht="19.5" thickBot="1" x14ac:dyDescent="0.45">
      <c r="A1" t="s">
        <v>23</v>
      </c>
    </row>
    <row r="2" spans="1:12" ht="19.5" thickBot="1" x14ac:dyDescent="0.45">
      <c r="B2" t="s">
        <v>46</v>
      </c>
      <c r="C2" t="s">
        <v>47</v>
      </c>
      <c r="D2" t="s">
        <v>48</v>
      </c>
      <c r="E2" t="s">
        <v>49</v>
      </c>
      <c r="G2" s="3" t="s">
        <v>24</v>
      </c>
      <c r="J2" s="11"/>
      <c r="K2" s="8" t="s">
        <v>64</v>
      </c>
    </row>
    <row r="3" spans="1:12" x14ac:dyDescent="0.4">
      <c r="A3" s="2" t="s">
        <v>20</v>
      </c>
      <c r="B3">
        <v>340</v>
      </c>
      <c r="C3">
        <v>300</v>
      </c>
      <c r="D3">
        <f>($K$7)</f>
        <v>64</v>
      </c>
      <c r="E3">
        <v>0</v>
      </c>
      <c r="F3" s="2" t="s">
        <v>18</v>
      </c>
      <c r="G3" s="4" t="s">
        <v>54</v>
      </c>
      <c r="H3">
        <v>0</v>
      </c>
      <c r="J3" s="12" t="s">
        <v>65</v>
      </c>
      <c r="K3" s="9">
        <v>48</v>
      </c>
      <c r="L3">
        <v>3</v>
      </c>
    </row>
    <row r="4" spans="1:12" x14ac:dyDescent="0.4">
      <c r="A4" s="2"/>
      <c r="B4">
        <v>410</v>
      </c>
      <c r="C4">
        <v>150</v>
      </c>
      <c r="D4">
        <f>($K$3)</f>
        <v>48</v>
      </c>
      <c r="E4">
        <v>0</v>
      </c>
      <c r="F4" s="2"/>
      <c r="G4" s="5" t="s">
        <v>51</v>
      </c>
      <c r="H4">
        <v>1</v>
      </c>
      <c r="J4" s="13" t="s">
        <v>66</v>
      </c>
      <c r="K4" s="10">
        <v>56</v>
      </c>
      <c r="L4">
        <v>4</v>
      </c>
    </row>
    <row r="5" spans="1:12" x14ac:dyDescent="0.4">
      <c r="A5" s="2"/>
      <c r="B5">
        <v>520</v>
      </c>
      <c r="C5">
        <v>350</v>
      </c>
      <c r="D5">
        <f>($K$4)</f>
        <v>56</v>
      </c>
      <c r="E5">
        <v>0</v>
      </c>
      <c r="F5" s="2"/>
      <c r="G5" s="4" t="s">
        <v>25</v>
      </c>
      <c r="H5">
        <v>2</v>
      </c>
      <c r="J5" s="13" t="s">
        <v>67</v>
      </c>
      <c r="K5" s="10">
        <v>40</v>
      </c>
      <c r="L5">
        <v>5</v>
      </c>
    </row>
    <row r="6" spans="1:12" x14ac:dyDescent="0.4">
      <c r="A6" s="2"/>
      <c r="B6">
        <v>520</v>
      </c>
      <c r="C6">
        <v>450</v>
      </c>
      <c r="D6">
        <f>($K$4)</f>
        <v>56</v>
      </c>
      <c r="E6">
        <v>0</v>
      </c>
      <c r="F6" s="2"/>
      <c r="G6" s="5" t="s">
        <v>26</v>
      </c>
      <c r="H6">
        <v>3</v>
      </c>
      <c r="J6" s="13" t="s">
        <v>68</v>
      </c>
      <c r="K6" s="10">
        <v>32</v>
      </c>
      <c r="L6">
        <v>6</v>
      </c>
    </row>
    <row r="7" spans="1:12" x14ac:dyDescent="0.4">
      <c r="A7" s="2"/>
      <c r="B7">
        <v>390</v>
      </c>
      <c r="C7">
        <v>200</v>
      </c>
      <c r="D7">
        <f>($K$3)</f>
        <v>48</v>
      </c>
      <c r="E7">
        <v>0</v>
      </c>
      <c r="F7" s="2"/>
      <c r="G7" s="4" t="s">
        <v>52</v>
      </c>
      <c r="H7">
        <v>4</v>
      </c>
      <c r="J7" s="14" t="s">
        <v>54</v>
      </c>
      <c r="K7" s="10">
        <v>64</v>
      </c>
      <c r="L7">
        <v>7</v>
      </c>
    </row>
    <row r="8" spans="1:12" x14ac:dyDescent="0.4">
      <c r="A8" s="2"/>
      <c r="B8">
        <v>520</v>
      </c>
      <c r="C8">
        <v>400</v>
      </c>
      <c r="D8">
        <f>($K$4)</f>
        <v>56</v>
      </c>
      <c r="E8">
        <v>0</v>
      </c>
      <c r="F8" s="2"/>
      <c r="G8" s="5" t="s">
        <v>27</v>
      </c>
      <c r="H8">
        <v>5</v>
      </c>
      <c r="J8" s="15" t="s">
        <v>50</v>
      </c>
      <c r="K8" s="10">
        <v>32</v>
      </c>
      <c r="L8">
        <v>8</v>
      </c>
    </row>
    <row r="9" spans="1:12" ht="19.5" thickBot="1" x14ac:dyDescent="0.45">
      <c r="A9" s="2"/>
      <c r="B9">
        <v>110</v>
      </c>
      <c r="C9">
        <v>200</v>
      </c>
      <c r="D9">
        <f>($K$3)</f>
        <v>48</v>
      </c>
      <c r="E9">
        <v>0</v>
      </c>
      <c r="F9" s="2">
        <v>315</v>
      </c>
      <c r="G9" s="4" t="s">
        <v>56</v>
      </c>
      <c r="J9" s="16" t="s">
        <v>29</v>
      </c>
      <c r="K9" s="10">
        <v>32</v>
      </c>
      <c r="L9">
        <v>9</v>
      </c>
    </row>
    <row r="10" spans="1:12" x14ac:dyDescent="0.4">
      <c r="A10" s="2"/>
      <c r="B10">
        <v>520</v>
      </c>
      <c r="C10">
        <v>400</v>
      </c>
      <c r="D10">
        <f>($K$4)</f>
        <v>56</v>
      </c>
      <c r="E10">
        <v>0</v>
      </c>
      <c r="F10" s="2"/>
      <c r="G10" s="5" t="s">
        <v>55</v>
      </c>
    </row>
    <row r="11" spans="1:12" ht="19.5" thickBot="1" x14ac:dyDescent="0.45">
      <c r="A11" s="2"/>
      <c r="B11">
        <v>440</v>
      </c>
      <c r="C11">
        <v>200</v>
      </c>
      <c r="D11">
        <f>($K$3)</f>
        <v>48</v>
      </c>
      <c r="E11">
        <v>0</v>
      </c>
      <c r="F11" s="2"/>
      <c r="G11" s="4" t="s">
        <v>53</v>
      </c>
      <c r="H11">
        <v>6</v>
      </c>
    </row>
    <row r="12" spans="1:12" ht="19.5" thickBot="1" x14ac:dyDescent="0.45">
      <c r="A12" s="2"/>
      <c r="B12">
        <v>520</v>
      </c>
      <c r="C12">
        <v>400</v>
      </c>
      <c r="D12">
        <f>($K$4)</f>
        <v>56</v>
      </c>
      <c r="E12">
        <v>0</v>
      </c>
      <c r="F12" s="2"/>
      <c r="G12" s="5" t="s">
        <v>28</v>
      </c>
      <c r="H12">
        <v>7</v>
      </c>
      <c r="J12" s="11"/>
      <c r="K12" s="8" t="s">
        <v>69</v>
      </c>
    </row>
    <row r="13" spans="1:12" x14ac:dyDescent="0.4">
      <c r="A13" s="2"/>
      <c r="B13">
        <v>320</v>
      </c>
      <c r="C13">
        <v>300</v>
      </c>
      <c r="D13">
        <f>($K$9)</f>
        <v>32</v>
      </c>
      <c r="E13">
        <v>0</v>
      </c>
      <c r="F13" s="2"/>
      <c r="G13" s="4" t="s">
        <v>29</v>
      </c>
      <c r="H13">
        <v>8</v>
      </c>
      <c r="J13" s="12" t="s">
        <v>67</v>
      </c>
      <c r="K13" s="9">
        <v>120</v>
      </c>
      <c r="L13" t="s">
        <v>70</v>
      </c>
    </row>
    <row r="14" spans="1:12" ht="19.5" thickBot="1" x14ac:dyDescent="0.45">
      <c r="A14" s="2"/>
      <c r="B14">
        <v>525</v>
      </c>
      <c r="C14">
        <v>540</v>
      </c>
      <c r="D14">
        <v>16</v>
      </c>
      <c r="E14">
        <v>0</v>
      </c>
      <c r="F14" s="2"/>
      <c r="G14" s="4" t="s">
        <v>73</v>
      </c>
      <c r="J14" s="17" t="s">
        <v>68</v>
      </c>
      <c r="K14" s="10">
        <v>80</v>
      </c>
      <c r="L14" t="s">
        <v>71</v>
      </c>
    </row>
    <row r="15" spans="1:12" x14ac:dyDescent="0.4">
      <c r="A15" s="2"/>
      <c r="B15">
        <v>380</v>
      </c>
      <c r="C15">
        <v>780</v>
      </c>
      <c r="D15">
        <f>($K$8)</f>
        <v>32</v>
      </c>
      <c r="E15">
        <v>1</v>
      </c>
      <c r="F15" s="6">
        <v>780</v>
      </c>
      <c r="G15" s="5" t="s">
        <v>50</v>
      </c>
      <c r="H15">
        <v>9</v>
      </c>
    </row>
    <row r="16" spans="1:12" x14ac:dyDescent="0.4">
      <c r="A16" s="2"/>
      <c r="B16">
        <v>490</v>
      </c>
      <c r="C16">
        <v>920</v>
      </c>
      <c r="D16">
        <f>($K$5)</f>
        <v>40</v>
      </c>
      <c r="E16">
        <v>1</v>
      </c>
      <c r="F16" s="7">
        <v>920</v>
      </c>
      <c r="G16" s="4" t="s">
        <v>30</v>
      </c>
      <c r="H16">
        <v>10</v>
      </c>
    </row>
    <row r="17" spans="1:8" x14ac:dyDescent="0.4">
      <c r="A17" s="2"/>
      <c r="B17">
        <v>275</v>
      </c>
      <c r="C17">
        <f>($C16 + $K$14)</f>
        <v>1000</v>
      </c>
      <c r="D17">
        <f>($K$6)</f>
        <v>32</v>
      </c>
      <c r="E17">
        <v>1</v>
      </c>
      <c r="F17" s="6">
        <v>1000</v>
      </c>
      <c r="G17" s="5" t="s">
        <v>31</v>
      </c>
      <c r="H17">
        <v>11</v>
      </c>
    </row>
    <row r="18" spans="1:8" x14ac:dyDescent="0.4">
      <c r="A18" s="2"/>
      <c r="B18">
        <v>580</v>
      </c>
      <c r="C18">
        <f>($C17 + $K$13)</f>
        <v>1120</v>
      </c>
      <c r="D18">
        <f>($K$5)</f>
        <v>40</v>
      </c>
      <c r="E18">
        <v>1</v>
      </c>
      <c r="F18" s="7">
        <v>1120</v>
      </c>
      <c r="G18" s="4" t="s">
        <v>32</v>
      </c>
      <c r="H18">
        <v>12</v>
      </c>
    </row>
    <row r="19" spans="1:8" x14ac:dyDescent="0.4">
      <c r="A19" s="2"/>
      <c r="B19">
        <v>140</v>
      </c>
      <c r="C19">
        <f>($C18 + $K$14)</f>
        <v>1200</v>
      </c>
      <c r="D19">
        <f>($K$6)</f>
        <v>32</v>
      </c>
      <c r="E19">
        <v>1</v>
      </c>
      <c r="F19" s="6">
        <v>1200</v>
      </c>
      <c r="G19" s="5" t="s">
        <v>33</v>
      </c>
      <c r="H19">
        <v>13</v>
      </c>
    </row>
    <row r="20" spans="1:8" x14ac:dyDescent="0.4">
      <c r="A20" s="2"/>
      <c r="B20">
        <v>430</v>
      </c>
      <c r="C20">
        <f>($C19 + $K$13)</f>
        <v>1320</v>
      </c>
      <c r="D20">
        <f>($K$5)</f>
        <v>40</v>
      </c>
      <c r="E20">
        <v>1</v>
      </c>
      <c r="F20" s="7">
        <v>1320</v>
      </c>
      <c r="G20" s="4" t="s">
        <v>34</v>
      </c>
      <c r="H20">
        <v>14</v>
      </c>
    </row>
    <row r="21" spans="1:8" x14ac:dyDescent="0.4">
      <c r="A21" s="2"/>
      <c r="B21">
        <v>120</v>
      </c>
      <c r="C21">
        <f>($C20 + $K$14)</f>
        <v>1400</v>
      </c>
      <c r="D21">
        <f>($K$6)</f>
        <v>32</v>
      </c>
      <c r="E21">
        <v>1</v>
      </c>
      <c r="F21" s="6">
        <v>1400</v>
      </c>
      <c r="G21" s="5" t="s">
        <v>35</v>
      </c>
      <c r="H21">
        <v>15</v>
      </c>
    </row>
    <row r="22" spans="1:8" x14ac:dyDescent="0.4">
      <c r="A22" s="2"/>
      <c r="B22">
        <v>480</v>
      </c>
      <c r="C22">
        <f>($C21 + $K$13)</f>
        <v>1520</v>
      </c>
      <c r="D22">
        <f>($K$5)</f>
        <v>40</v>
      </c>
      <c r="E22">
        <v>1</v>
      </c>
      <c r="F22" s="7">
        <v>1520</v>
      </c>
      <c r="G22" s="4" t="s">
        <v>36</v>
      </c>
      <c r="H22">
        <v>16</v>
      </c>
    </row>
    <row r="23" spans="1:8" x14ac:dyDescent="0.4">
      <c r="A23" s="2"/>
      <c r="B23">
        <v>330</v>
      </c>
      <c r="C23">
        <f>($C22 + $K$14)</f>
        <v>1600</v>
      </c>
      <c r="D23">
        <f>($K$6)</f>
        <v>32</v>
      </c>
      <c r="E23">
        <v>1</v>
      </c>
      <c r="F23" s="6">
        <v>1600</v>
      </c>
      <c r="G23" s="5" t="s">
        <v>37</v>
      </c>
      <c r="H23">
        <v>17</v>
      </c>
    </row>
    <row r="24" spans="1:8" x14ac:dyDescent="0.4">
      <c r="A24" s="2"/>
      <c r="B24">
        <v>520</v>
      </c>
      <c r="C24">
        <f>($C23 + $K$13)</f>
        <v>1720</v>
      </c>
      <c r="D24">
        <f>($K$5)</f>
        <v>40</v>
      </c>
      <c r="E24">
        <v>1</v>
      </c>
      <c r="F24" s="7">
        <v>1720</v>
      </c>
      <c r="G24" s="4" t="s">
        <v>38</v>
      </c>
      <c r="H24">
        <v>18</v>
      </c>
    </row>
    <row r="25" spans="1:8" x14ac:dyDescent="0.4">
      <c r="A25" s="2"/>
      <c r="B25">
        <v>350</v>
      </c>
      <c r="C25">
        <f>($C24 + $K$14)</f>
        <v>1800</v>
      </c>
      <c r="D25">
        <f>($K$6)</f>
        <v>32</v>
      </c>
      <c r="E25">
        <v>1</v>
      </c>
      <c r="F25" s="6">
        <v>1800</v>
      </c>
      <c r="G25" s="5" t="s">
        <v>39</v>
      </c>
      <c r="H25">
        <v>19</v>
      </c>
    </row>
    <row r="26" spans="1:8" x14ac:dyDescent="0.4">
      <c r="A26" s="2"/>
      <c r="B26">
        <v>510</v>
      </c>
      <c r="C26">
        <f>($C25 + $K$13)</f>
        <v>1920</v>
      </c>
      <c r="D26">
        <f>($K$5)</f>
        <v>40</v>
      </c>
      <c r="E26">
        <v>1</v>
      </c>
      <c r="F26" s="7">
        <v>1920</v>
      </c>
      <c r="G26" s="4" t="s">
        <v>40</v>
      </c>
      <c r="H26">
        <v>20</v>
      </c>
    </row>
    <row r="27" spans="1:8" x14ac:dyDescent="0.4">
      <c r="A27" s="2"/>
      <c r="B27">
        <v>160</v>
      </c>
      <c r="C27">
        <f>($C26 + $K$14)</f>
        <v>2000</v>
      </c>
      <c r="D27">
        <f>($K$6)</f>
        <v>32</v>
      </c>
      <c r="E27">
        <v>1</v>
      </c>
      <c r="F27" s="6">
        <v>2000</v>
      </c>
      <c r="G27" s="5" t="s">
        <v>41</v>
      </c>
      <c r="H27">
        <v>21</v>
      </c>
    </row>
    <row r="28" spans="1:8" x14ac:dyDescent="0.4">
      <c r="A28" s="2"/>
      <c r="B28">
        <v>380</v>
      </c>
      <c r="C28">
        <f>($C27 + $K$13)</f>
        <v>2120</v>
      </c>
      <c r="D28">
        <f>($K$5)</f>
        <v>40</v>
      </c>
      <c r="E28">
        <v>1</v>
      </c>
      <c r="F28" s="7">
        <v>2120</v>
      </c>
      <c r="G28" s="4" t="s">
        <v>42</v>
      </c>
      <c r="H28">
        <v>22</v>
      </c>
    </row>
    <row r="29" spans="1:8" x14ac:dyDescent="0.4">
      <c r="A29" s="2"/>
      <c r="B29">
        <v>290</v>
      </c>
      <c r="C29">
        <f>($C28 + $K$14)</f>
        <v>2200</v>
      </c>
      <c r="D29">
        <f>($K$6)</f>
        <v>32</v>
      </c>
      <c r="E29">
        <v>1</v>
      </c>
      <c r="F29" s="6">
        <v>2200</v>
      </c>
      <c r="G29" s="5" t="s">
        <v>43</v>
      </c>
      <c r="H29">
        <v>23</v>
      </c>
    </row>
    <row r="30" spans="1:8" x14ac:dyDescent="0.4">
      <c r="A30" s="2"/>
      <c r="B30">
        <v>560</v>
      </c>
      <c r="C30">
        <f>($C29 + $K$13)</f>
        <v>2320</v>
      </c>
      <c r="D30">
        <f>($K$5)</f>
        <v>40</v>
      </c>
      <c r="E30">
        <v>1</v>
      </c>
      <c r="F30" s="7">
        <v>2320</v>
      </c>
      <c r="G30" s="4" t="s">
        <v>44</v>
      </c>
      <c r="H30">
        <v>24</v>
      </c>
    </row>
    <row r="31" spans="1:8" x14ac:dyDescent="0.4">
      <c r="A31" s="2"/>
      <c r="B31">
        <v>244</v>
      </c>
      <c r="C31">
        <f>($C30 + $K$14)</f>
        <v>2400</v>
      </c>
      <c r="D31">
        <f>($K$6)</f>
        <v>32</v>
      </c>
      <c r="E31">
        <v>1</v>
      </c>
      <c r="F31" s="6">
        <v>2400</v>
      </c>
      <c r="G31" s="5" t="s">
        <v>45</v>
      </c>
      <c r="H31">
        <v>25</v>
      </c>
    </row>
    <row r="32" spans="1:8" x14ac:dyDescent="0.4">
      <c r="A32" s="2"/>
      <c r="B32">
        <v>495</v>
      </c>
      <c r="C32">
        <f>($C31 + $K$13)</f>
        <v>2520</v>
      </c>
      <c r="D32">
        <f>($K$5)</f>
        <v>40</v>
      </c>
      <c r="E32">
        <v>1</v>
      </c>
      <c r="F32" s="18">
        <v>2520</v>
      </c>
      <c r="G32" s="4" t="s">
        <v>57</v>
      </c>
    </row>
    <row r="33" spans="1:7" x14ac:dyDescent="0.4">
      <c r="A33" s="2"/>
      <c r="B33">
        <v>215</v>
      </c>
      <c r="C33">
        <f>($C32 + $K$14)</f>
        <v>2600</v>
      </c>
      <c r="D33">
        <f>($K$6)</f>
        <v>32</v>
      </c>
      <c r="E33">
        <v>1</v>
      </c>
      <c r="F33" s="19">
        <v>2600</v>
      </c>
      <c r="G33" s="5" t="s">
        <v>58</v>
      </c>
    </row>
    <row r="34" spans="1:7" x14ac:dyDescent="0.4">
      <c r="A34" s="2"/>
      <c r="B34">
        <v>405</v>
      </c>
      <c r="C34">
        <f>($C33 + $K$13)</f>
        <v>2720</v>
      </c>
      <c r="D34">
        <f>($K$5)</f>
        <v>40</v>
      </c>
      <c r="E34">
        <v>1</v>
      </c>
      <c r="F34" s="18">
        <v>2720</v>
      </c>
      <c r="G34" s="4" t="s">
        <v>72</v>
      </c>
    </row>
    <row r="35" spans="1:7" x14ac:dyDescent="0.4">
      <c r="A35" s="2"/>
      <c r="B35">
        <v>290</v>
      </c>
      <c r="C35">
        <f>($C34 + $K$14)</f>
        <v>2800</v>
      </c>
      <c r="D35">
        <f>($K$6)</f>
        <v>32</v>
      </c>
      <c r="E35">
        <v>1</v>
      </c>
      <c r="F35" s="19">
        <v>2800</v>
      </c>
      <c r="G35" s="5" t="s">
        <v>59</v>
      </c>
    </row>
    <row r="36" spans="1:7" x14ac:dyDescent="0.4">
      <c r="A36" s="2"/>
      <c r="B36">
        <v>365</v>
      </c>
      <c r="C36">
        <f>($C35 + $K$13)</f>
        <v>2920</v>
      </c>
      <c r="D36">
        <f>($K$5)</f>
        <v>40</v>
      </c>
      <c r="E36">
        <v>1</v>
      </c>
      <c r="F36" s="18">
        <v>2920</v>
      </c>
      <c r="G36" s="4" t="s">
        <v>60</v>
      </c>
    </row>
    <row r="37" spans="1:7" x14ac:dyDescent="0.4">
      <c r="A37" s="2"/>
      <c r="B37">
        <v>410</v>
      </c>
      <c r="C37">
        <f>($C36 + $K$14)</f>
        <v>3000</v>
      </c>
      <c r="D37">
        <f>($K$6)</f>
        <v>32</v>
      </c>
      <c r="E37">
        <v>1</v>
      </c>
      <c r="F37" s="19">
        <v>3000</v>
      </c>
      <c r="G37" s="5" t="s">
        <v>61</v>
      </c>
    </row>
    <row r="38" spans="1:7" x14ac:dyDescent="0.4">
      <c r="A38" s="2"/>
      <c r="B38">
        <v>430</v>
      </c>
      <c r="C38">
        <f>($C37 + $K$13)</f>
        <v>3120</v>
      </c>
      <c r="D38">
        <f>($K$5)</f>
        <v>40</v>
      </c>
      <c r="E38">
        <v>1</v>
      </c>
      <c r="F38" s="18">
        <v>3120</v>
      </c>
      <c r="G38" s="4" t="s">
        <v>62</v>
      </c>
    </row>
    <row r="39" spans="1:7" x14ac:dyDescent="0.4">
      <c r="A39" s="2"/>
      <c r="B39">
        <v>153</v>
      </c>
      <c r="C39">
        <f>($C38 + $K$14)</f>
        <v>3200</v>
      </c>
      <c r="D39">
        <f>($K$6)</f>
        <v>32</v>
      </c>
      <c r="E39">
        <v>1</v>
      </c>
      <c r="F39" s="19">
        <v>3200</v>
      </c>
      <c r="G39" s="5" t="s">
        <v>63</v>
      </c>
    </row>
    <row r="40" spans="1:7" x14ac:dyDescent="0.4">
      <c r="A40" s="2" t="s">
        <v>21</v>
      </c>
      <c r="B40" t="s">
        <v>10</v>
      </c>
    </row>
  </sheetData>
  <phoneticPr fontId="1"/>
  <pageMargins left="0.7" right="0.7" top="0.75" bottom="0.75" header="0.3" footer="0.3"/>
  <pageSetup paperSize="9" orientation="portrait" r:id="rId1"/>
  <ignoredErrors>
    <ignoredError sqref="C24" formula="1"/>
  </ignoredErrors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2018-12-18T06:00:29Z</dcterms:modified>
</cp:coreProperties>
</file>